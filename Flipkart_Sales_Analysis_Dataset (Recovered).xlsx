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8.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PRABAKARAN\Desktop\"/>
    </mc:Choice>
  </mc:AlternateContent>
  <bookViews>
    <workbookView xWindow="0" yWindow="0" windowWidth="11760" windowHeight="7680" tabRatio="859" firstSheet="3" activeTab="6"/>
  </bookViews>
  <sheets>
    <sheet name="Product Analysis" sheetId="4" r:id="rId1"/>
    <sheet name="City Analysis" sheetId="5" r:id="rId2"/>
    <sheet name="DELIVERY STATUS ANALYSIS" sheetId="7" r:id="rId3"/>
    <sheet name="PAYMENT MODE ANALYSIS" sheetId="6" r:id="rId4"/>
    <sheet name=" DISCOUNT ANALYSIS" sheetId="8" r:id="rId5"/>
    <sheet name="TIME-BASED ANALYSIS" sheetId="9" r:id="rId6"/>
    <sheet name="Flipkart_Sales_Data" sheetId="1" r:id="rId7"/>
    <sheet name="Overview Analysis" sheetId="3" r:id="rId8"/>
    <sheet name="Dashboard" sheetId="11" r:id="rId9"/>
  </sheets>
  <definedNames>
    <definedName name="_xlnm._FilterDatabase" localSheetId="6" hidden="1">Flipkart_Sales_Data!$A$1:$L$201</definedName>
    <definedName name="Slicer_Category">#N/A</definedName>
    <definedName name="Slicer_Category1">#N/A</definedName>
    <definedName name="Slicer_City">#N/A</definedName>
    <definedName name="Slicer_City1">#N/A</definedName>
    <definedName name="Slicer_Delivery_Status">#N/A</definedName>
    <definedName name="Slicer_Delivery_Status1">#N/A</definedName>
    <definedName name="Slicer_Payment_Mode">#N/A</definedName>
    <definedName name="Slicer_Payment_Mode1">#N/A</definedName>
  </definedNames>
  <calcPr calcId="152511"/>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5"/>
        <x14:slicerCache r:id="rId16"/>
        <x14:slicerCache r:id="rId17"/>
        <x14:slicerCache r:id="rId18"/>
      </x15:slicerCaches>
    </ext>
  </extLst>
</workbook>
</file>

<file path=xl/calcChain.xml><?xml version="1.0" encoding="utf-8"?>
<calcChain xmlns="http://schemas.openxmlformats.org/spreadsheetml/2006/main">
  <c r="N3" i="1" l="1"/>
  <c r="M3" i="1"/>
  <c r="G2" i="3" l="1"/>
  <c r="F2" i="3"/>
  <c r="E2" i="3"/>
  <c r="D2" i="3"/>
  <c r="C2" i="3"/>
  <c r="B2" i="3"/>
  <c r="A2" i="3"/>
  <c r="T201" i="1"/>
  <c r="S201" i="1"/>
  <c r="R201" i="1"/>
  <c r="P201" i="1"/>
  <c r="T200" i="1"/>
  <c r="S200" i="1"/>
  <c r="R200" i="1"/>
  <c r="P200" i="1"/>
  <c r="T199" i="1"/>
  <c r="S199" i="1"/>
  <c r="R199" i="1"/>
  <c r="P199" i="1"/>
  <c r="T198" i="1"/>
  <c r="S198" i="1"/>
  <c r="R198" i="1"/>
  <c r="P198" i="1"/>
  <c r="T197" i="1"/>
  <c r="S197" i="1"/>
  <c r="R197" i="1"/>
  <c r="P197" i="1"/>
  <c r="T196" i="1"/>
  <c r="S196" i="1"/>
  <c r="R196" i="1"/>
  <c r="P196" i="1"/>
  <c r="T195" i="1"/>
  <c r="S195" i="1"/>
  <c r="R195" i="1"/>
  <c r="P195" i="1"/>
  <c r="T194" i="1"/>
  <c r="S194" i="1"/>
  <c r="R194" i="1"/>
  <c r="P194" i="1"/>
  <c r="T193" i="1"/>
  <c r="S193" i="1"/>
  <c r="R193" i="1"/>
  <c r="P193" i="1"/>
  <c r="T192" i="1"/>
  <c r="S192" i="1"/>
  <c r="R192" i="1"/>
  <c r="P192" i="1"/>
  <c r="T191" i="1"/>
  <c r="S191" i="1"/>
  <c r="R191" i="1"/>
  <c r="P191" i="1"/>
  <c r="T190" i="1"/>
  <c r="S190" i="1"/>
  <c r="R190" i="1"/>
  <c r="P190" i="1"/>
  <c r="T189" i="1"/>
  <c r="S189" i="1"/>
  <c r="R189" i="1"/>
  <c r="P189" i="1"/>
  <c r="T188" i="1"/>
  <c r="S188" i="1"/>
  <c r="R188" i="1"/>
  <c r="P188" i="1"/>
  <c r="T187" i="1"/>
  <c r="S187" i="1"/>
  <c r="R187" i="1"/>
  <c r="P187" i="1"/>
  <c r="T186" i="1"/>
  <c r="S186" i="1"/>
  <c r="R186" i="1"/>
  <c r="P186" i="1"/>
  <c r="T185" i="1"/>
  <c r="S185" i="1"/>
  <c r="R185" i="1"/>
  <c r="P185" i="1"/>
  <c r="T184" i="1"/>
  <c r="S184" i="1"/>
  <c r="R184" i="1"/>
  <c r="P184" i="1"/>
  <c r="T183" i="1"/>
  <c r="S183" i="1"/>
  <c r="R183" i="1"/>
  <c r="P183" i="1"/>
  <c r="T182" i="1"/>
  <c r="S182" i="1"/>
  <c r="R182" i="1"/>
  <c r="P182" i="1"/>
  <c r="T181" i="1"/>
  <c r="S181" i="1"/>
  <c r="R181" i="1"/>
  <c r="P181" i="1"/>
  <c r="T180" i="1"/>
  <c r="S180" i="1"/>
  <c r="R180" i="1"/>
  <c r="P180" i="1"/>
  <c r="T179" i="1"/>
  <c r="S179" i="1"/>
  <c r="R179" i="1"/>
  <c r="P179" i="1"/>
  <c r="T178" i="1"/>
  <c r="S178" i="1"/>
  <c r="R178" i="1"/>
  <c r="P178" i="1"/>
  <c r="T177" i="1"/>
  <c r="S177" i="1"/>
  <c r="R177" i="1"/>
  <c r="P177" i="1"/>
  <c r="T176" i="1"/>
  <c r="S176" i="1"/>
  <c r="R176" i="1"/>
  <c r="P176" i="1"/>
  <c r="T175" i="1"/>
  <c r="S175" i="1"/>
  <c r="R175" i="1"/>
  <c r="P175" i="1"/>
  <c r="T174" i="1"/>
  <c r="S174" i="1"/>
  <c r="R174" i="1"/>
  <c r="P174" i="1"/>
  <c r="T173" i="1"/>
  <c r="S173" i="1"/>
  <c r="R173" i="1"/>
  <c r="P173" i="1"/>
  <c r="T172" i="1"/>
  <c r="S172" i="1"/>
  <c r="R172" i="1"/>
  <c r="P172" i="1"/>
  <c r="T171" i="1"/>
  <c r="S171" i="1"/>
  <c r="R171" i="1"/>
  <c r="P171" i="1"/>
  <c r="T170" i="1"/>
  <c r="S170" i="1"/>
  <c r="R170" i="1"/>
  <c r="P170" i="1"/>
  <c r="T169" i="1"/>
  <c r="S169" i="1"/>
  <c r="R169" i="1"/>
  <c r="P169" i="1"/>
  <c r="T168" i="1"/>
  <c r="S168" i="1"/>
  <c r="R168" i="1"/>
  <c r="P168" i="1"/>
  <c r="T167" i="1"/>
  <c r="S167" i="1"/>
  <c r="R167" i="1"/>
  <c r="P167" i="1"/>
  <c r="T166" i="1"/>
  <c r="S166" i="1"/>
  <c r="R166" i="1"/>
  <c r="P166" i="1"/>
  <c r="T165" i="1"/>
  <c r="S165" i="1"/>
  <c r="R165" i="1"/>
  <c r="P165" i="1"/>
  <c r="T164" i="1"/>
  <c r="S164" i="1"/>
  <c r="R164" i="1"/>
  <c r="P164" i="1"/>
  <c r="T163" i="1"/>
  <c r="S163" i="1"/>
  <c r="R163" i="1"/>
  <c r="P163" i="1"/>
  <c r="T162" i="1"/>
  <c r="S162" i="1"/>
  <c r="R162" i="1"/>
  <c r="P162" i="1"/>
  <c r="T161" i="1"/>
  <c r="S161" i="1"/>
  <c r="R161" i="1"/>
  <c r="P161" i="1"/>
  <c r="T160" i="1"/>
  <c r="S160" i="1"/>
  <c r="R160" i="1"/>
  <c r="P160" i="1"/>
  <c r="T159" i="1"/>
  <c r="S159" i="1"/>
  <c r="R159" i="1"/>
  <c r="P159" i="1"/>
  <c r="T158" i="1"/>
  <c r="S158" i="1"/>
  <c r="R158" i="1"/>
  <c r="P158" i="1"/>
  <c r="T157" i="1"/>
  <c r="S157" i="1"/>
  <c r="R157" i="1"/>
  <c r="P157" i="1"/>
  <c r="T156" i="1"/>
  <c r="S156" i="1"/>
  <c r="R156" i="1"/>
  <c r="P156" i="1"/>
  <c r="T155" i="1"/>
  <c r="S155" i="1"/>
  <c r="R155" i="1"/>
  <c r="P155" i="1"/>
  <c r="T154" i="1"/>
  <c r="S154" i="1"/>
  <c r="R154" i="1"/>
  <c r="P154" i="1"/>
  <c r="T153" i="1"/>
  <c r="S153" i="1"/>
  <c r="R153" i="1"/>
  <c r="P153" i="1"/>
  <c r="T152" i="1"/>
  <c r="S152" i="1"/>
  <c r="R152" i="1"/>
  <c r="P152" i="1"/>
  <c r="T151" i="1"/>
  <c r="S151" i="1"/>
  <c r="R151" i="1"/>
  <c r="P151" i="1"/>
  <c r="T150" i="1"/>
  <c r="S150" i="1"/>
  <c r="R150" i="1"/>
  <c r="P150" i="1"/>
  <c r="T149" i="1"/>
  <c r="S149" i="1"/>
  <c r="R149" i="1"/>
  <c r="P149" i="1"/>
  <c r="T148" i="1"/>
  <c r="S148" i="1"/>
  <c r="R148" i="1"/>
  <c r="P148" i="1"/>
  <c r="T147" i="1"/>
  <c r="S147" i="1"/>
  <c r="R147" i="1"/>
  <c r="P147" i="1"/>
  <c r="T146" i="1"/>
  <c r="S146" i="1"/>
  <c r="R146" i="1"/>
  <c r="P146" i="1"/>
  <c r="T145" i="1"/>
  <c r="S145" i="1"/>
  <c r="R145" i="1"/>
  <c r="P145" i="1"/>
  <c r="T144" i="1"/>
  <c r="S144" i="1"/>
  <c r="R144" i="1"/>
  <c r="P144" i="1"/>
  <c r="T143" i="1"/>
  <c r="S143" i="1"/>
  <c r="R143" i="1"/>
  <c r="P143" i="1"/>
  <c r="T142" i="1"/>
  <c r="S142" i="1"/>
  <c r="R142" i="1"/>
  <c r="P142" i="1"/>
  <c r="T141" i="1"/>
  <c r="S141" i="1"/>
  <c r="R141" i="1"/>
  <c r="P141" i="1"/>
  <c r="T140" i="1"/>
  <c r="S140" i="1"/>
  <c r="R140" i="1"/>
  <c r="P140" i="1"/>
  <c r="T139" i="1"/>
  <c r="S139" i="1"/>
  <c r="R139" i="1"/>
  <c r="P139" i="1"/>
  <c r="T138" i="1"/>
  <c r="S138" i="1"/>
  <c r="R138" i="1"/>
  <c r="P138" i="1"/>
  <c r="T137" i="1"/>
  <c r="S137" i="1"/>
  <c r="R137" i="1"/>
  <c r="P137" i="1"/>
  <c r="T136" i="1"/>
  <c r="S136" i="1"/>
  <c r="R136" i="1"/>
  <c r="P136" i="1"/>
  <c r="T135" i="1"/>
  <c r="S135" i="1"/>
  <c r="R135" i="1"/>
  <c r="P135" i="1"/>
  <c r="T134" i="1"/>
  <c r="S134" i="1"/>
  <c r="R134" i="1"/>
  <c r="P134" i="1"/>
  <c r="T133" i="1"/>
  <c r="S133" i="1"/>
  <c r="R133" i="1"/>
  <c r="P133" i="1"/>
  <c r="T132" i="1"/>
  <c r="S132" i="1"/>
  <c r="R132" i="1"/>
  <c r="P132" i="1"/>
  <c r="T131" i="1"/>
  <c r="S131" i="1"/>
  <c r="R131" i="1"/>
  <c r="P131" i="1"/>
  <c r="T130" i="1"/>
  <c r="S130" i="1"/>
  <c r="R130" i="1"/>
  <c r="P130" i="1"/>
  <c r="T129" i="1"/>
  <c r="S129" i="1"/>
  <c r="R129" i="1"/>
  <c r="P129" i="1"/>
  <c r="T128" i="1"/>
  <c r="S128" i="1"/>
  <c r="R128" i="1"/>
  <c r="P128" i="1"/>
  <c r="T127" i="1"/>
  <c r="S127" i="1"/>
  <c r="R127" i="1"/>
  <c r="P127" i="1"/>
  <c r="T126" i="1"/>
  <c r="S126" i="1"/>
  <c r="R126" i="1"/>
  <c r="P126" i="1"/>
  <c r="T125" i="1"/>
  <c r="S125" i="1"/>
  <c r="R125" i="1"/>
  <c r="P125" i="1"/>
  <c r="T124" i="1"/>
  <c r="S124" i="1"/>
  <c r="R124" i="1"/>
  <c r="P124" i="1"/>
  <c r="T123" i="1"/>
  <c r="S123" i="1"/>
  <c r="R123" i="1"/>
  <c r="P123" i="1"/>
  <c r="T122" i="1"/>
  <c r="S122" i="1"/>
  <c r="R122" i="1"/>
  <c r="P122" i="1"/>
  <c r="T121" i="1"/>
  <c r="S121" i="1"/>
  <c r="R121" i="1"/>
  <c r="P121" i="1"/>
  <c r="T120" i="1"/>
  <c r="S120" i="1"/>
  <c r="R120" i="1"/>
  <c r="P120" i="1"/>
  <c r="T119" i="1"/>
  <c r="S119" i="1"/>
  <c r="R119" i="1"/>
  <c r="P119" i="1"/>
  <c r="T118" i="1"/>
  <c r="S118" i="1"/>
  <c r="R118" i="1"/>
  <c r="P118" i="1"/>
  <c r="T117" i="1"/>
  <c r="S117" i="1"/>
  <c r="R117" i="1"/>
  <c r="P117" i="1"/>
  <c r="T116" i="1"/>
  <c r="S116" i="1"/>
  <c r="R116" i="1"/>
  <c r="P116" i="1"/>
  <c r="T115" i="1"/>
  <c r="S115" i="1"/>
  <c r="R115" i="1"/>
  <c r="P115" i="1"/>
  <c r="T114" i="1"/>
  <c r="S114" i="1"/>
  <c r="R114" i="1"/>
  <c r="P114" i="1"/>
  <c r="T113" i="1"/>
  <c r="S113" i="1"/>
  <c r="R113" i="1"/>
  <c r="P113" i="1"/>
  <c r="T112" i="1"/>
  <c r="S112" i="1"/>
  <c r="R112" i="1"/>
  <c r="P112" i="1"/>
  <c r="T111" i="1"/>
  <c r="S111" i="1"/>
  <c r="R111" i="1"/>
  <c r="P111" i="1"/>
  <c r="T110" i="1"/>
  <c r="S110" i="1"/>
  <c r="R110" i="1"/>
  <c r="P110" i="1"/>
  <c r="T109" i="1"/>
  <c r="S109" i="1"/>
  <c r="R109" i="1"/>
  <c r="P109" i="1"/>
  <c r="T108" i="1"/>
  <c r="S108" i="1"/>
  <c r="R108" i="1"/>
  <c r="P108" i="1"/>
  <c r="T107" i="1"/>
  <c r="S107" i="1"/>
  <c r="R107" i="1"/>
  <c r="P107" i="1"/>
  <c r="T106" i="1"/>
  <c r="S106" i="1"/>
  <c r="R106" i="1"/>
  <c r="P106" i="1"/>
  <c r="T105" i="1"/>
  <c r="S105" i="1"/>
  <c r="R105" i="1"/>
  <c r="P105" i="1"/>
  <c r="T104" i="1"/>
  <c r="S104" i="1"/>
  <c r="R104" i="1"/>
  <c r="P104" i="1"/>
  <c r="T103" i="1"/>
  <c r="S103" i="1"/>
  <c r="R103" i="1"/>
  <c r="P103" i="1"/>
  <c r="T102" i="1"/>
  <c r="S102" i="1"/>
  <c r="R102" i="1"/>
  <c r="P102" i="1"/>
  <c r="T101" i="1"/>
  <c r="S101" i="1"/>
  <c r="R101" i="1"/>
  <c r="P101" i="1"/>
  <c r="T100" i="1"/>
  <c r="S100" i="1"/>
  <c r="R100" i="1"/>
  <c r="P100" i="1"/>
  <c r="T99" i="1"/>
  <c r="S99" i="1"/>
  <c r="R99" i="1"/>
  <c r="P99" i="1"/>
  <c r="T98" i="1"/>
  <c r="S98" i="1"/>
  <c r="R98" i="1"/>
  <c r="P98" i="1"/>
  <c r="T97" i="1"/>
  <c r="S97" i="1"/>
  <c r="R97" i="1"/>
  <c r="P97" i="1"/>
  <c r="T96" i="1"/>
  <c r="S96" i="1"/>
  <c r="R96" i="1"/>
  <c r="P96" i="1"/>
  <c r="T95" i="1"/>
  <c r="S95" i="1"/>
  <c r="R95" i="1"/>
  <c r="P95" i="1"/>
  <c r="T94" i="1"/>
  <c r="S94" i="1"/>
  <c r="R94" i="1"/>
  <c r="P94" i="1"/>
  <c r="T93" i="1"/>
  <c r="S93" i="1"/>
  <c r="R93" i="1"/>
  <c r="P93" i="1"/>
  <c r="T92" i="1"/>
  <c r="S92" i="1"/>
  <c r="R92" i="1"/>
  <c r="P92" i="1"/>
  <c r="T91" i="1"/>
  <c r="S91" i="1"/>
  <c r="R91" i="1"/>
  <c r="P91" i="1"/>
  <c r="T90" i="1"/>
  <c r="S90" i="1"/>
  <c r="R90" i="1"/>
  <c r="P90" i="1"/>
  <c r="T89" i="1"/>
  <c r="S89" i="1"/>
  <c r="R89" i="1"/>
  <c r="P89" i="1"/>
  <c r="T88" i="1"/>
  <c r="S88" i="1"/>
  <c r="R88" i="1"/>
  <c r="P88" i="1"/>
  <c r="T87" i="1"/>
  <c r="S87" i="1"/>
  <c r="R87" i="1"/>
  <c r="P87" i="1"/>
  <c r="T86" i="1"/>
  <c r="S86" i="1"/>
  <c r="R86" i="1"/>
  <c r="P86" i="1"/>
  <c r="T85" i="1"/>
  <c r="S85" i="1"/>
  <c r="R85" i="1"/>
  <c r="P85" i="1"/>
  <c r="T84" i="1"/>
  <c r="S84" i="1"/>
  <c r="R84" i="1"/>
  <c r="P84" i="1"/>
  <c r="T83" i="1"/>
  <c r="S83" i="1"/>
  <c r="R83" i="1"/>
  <c r="P83" i="1"/>
  <c r="T82" i="1"/>
  <c r="S82" i="1"/>
  <c r="R82" i="1"/>
  <c r="P82" i="1"/>
  <c r="T81" i="1"/>
  <c r="S81" i="1"/>
  <c r="R81" i="1"/>
  <c r="P81" i="1"/>
  <c r="T80" i="1"/>
  <c r="S80" i="1"/>
  <c r="R80" i="1"/>
  <c r="P80" i="1"/>
  <c r="T79" i="1"/>
  <c r="S79" i="1"/>
  <c r="R79" i="1"/>
  <c r="P79" i="1"/>
  <c r="T78" i="1"/>
  <c r="S78" i="1"/>
  <c r="R78" i="1"/>
  <c r="P78" i="1"/>
  <c r="T77" i="1"/>
  <c r="S77" i="1"/>
  <c r="R77" i="1"/>
  <c r="P77" i="1"/>
  <c r="T76" i="1"/>
  <c r="S76" i="1"/>
  <c r="R76" i="1"/>
  <c r="P76" i="1"/>
  <c r="T75" i="1"/>
  <c r="S75" i="1"/>
  <c r="R75" i="1"/>
  <c r="P75" i="1"/>
  <c r="T74" i="1"/>
  <c r="S74" i="1"/>
  <c r="R74" i="1"/>
  <c r="P74" i="1"/>
  <c r="T73" i="1"/>
  <c r="S73" i="1"/>
  <c r="R73" i="1"/>
  <c r="P73" i="1"/>
  <c r="T72" i="1"/>
  <c r="S72" i="1"/>
  <c r="R72" i="1"/>
  <c r="P72" i="1"/>
  <c r="T71" i="1"/>
  <c r="S71" i="1"/>
  <c r="R71" i="1"/>
  <c r="P71" i="1"/>
  <c r="T70" i="1"/>
  <c r="S70" i="1"/>
  <c r="R70" i="1"/>
  <c r="P70" i="1"/>
  <c r="T69" i="1"/>
  <c r="S69" i="1"/>
  <c r="R69" i="1"/>
  <c r="P69" i="1"/>
  <c r="T68" i="1"/>
  <c r="S68" i="1"/>
  <c r="R68" i="1"/>
  <c r="P68" i="1"/>
  <c r="T67" i="1"/>
  <c r="S67" i="1"/>
  <c r="R67" i="1"/>
  <c r="P67" i="1"/>
  <c r="T66" i="1"/>
  <c r="S66" i="1"/>
  <c r="R66" i="1"/>
  <c r="P66" i="1"/>
  <c r="T65" i="1"/>
  <c r="S65" i="1"/>
  <c r="R65" i="1"/>
  <c r="P65" i="1"/>
  <c r="T64" i="1"/>
  <c r="S64" i="1"/>
  <c r="R64" i="1"/>
  <c r="P64" i="1"/>
  <c r="T63" i="1"/>
  <c r="S63" i="1"/>
  <c r="R63" i="1"/>
  <c r="P63" i="1"/>
  <c r="T62" i="1"/>
  <c r="S62" i="1"/>
  <c r="R62" i="1"/>
  <c r="P62" i="1"/>
  <c r="T61" i="1"/>
  <c r="S61" i="1"/>
  <c r="R61" i="1"/>
  <c r="P61" i="1"/>
  <c r="T60" i="1"/>
  <c r="S60" i="1"/>
  <c r="R60" i="1"/>
  <c r="P60" i="1"/>
  <c r="T59" i="1"/>
  <c r="S59" i="1"/>
  <c r="R59" i="1"/>
  <c r="P59" i="1"/>
  <c r="T58" i="1"/>
  <c r="S58" i="1"/>
  <c r="R58" i="1"/>
  <c r="P58" i="1"/>
  <c r="T57" i="1"/>
  <c r="S57" i="1"/>
  <c r="R57" i="1"/>
  <c r="P57" i="1"/>
  <c r="T56" i="1"/>
  <c r="S56" i="1"/>
  <c r="R56" i="1"/>
  <c r="P56" i="1"/>
  <c r="T55" i="1"/>
  <c r="S55" i="1"/>
  <c r="R55" i="1"/>
  <c r="P55" i="1"/>
  <c r="T54" i="1"/>
  <c r="S54" i="1"/>
  <c r="R54" i="1"/>
  <c r="P54" i="1"/>
  <c r="T53" i="1"/>
  <c r="S53" i="1"/>
  <c r="R53" i="1"/>
  <c r="P53" i="1"/>
  <c r="T52" i="1"/>
  <c r="S52" i="1"/>
  <c r="R52" i="1"/>
  <c r="P52" i="1"/>
  <c r="T51" i="1"/>
  <c r="S51" i="1"/>
  <c r="R51" i="1"/>
  <c r="P51" i="1"/>
  <c r="T50" i="1"/>
  <c r="S50" i="1"/>
  <c r="R50" i="1"/>
  <c r="P50" i="1"/>
  <c r="T49" i="1"/>
  <c r="S49" i="1"/>
  <c r="R49" i="1"/>
  <c r="P49" i="1"/>
  <c r="T48" i="1"/>
  <c r="S48" i="1"/>
  <c r="R48" i="1"/>
  <c r="P48" i="1"/>
  <c r="T47" i="1"/>
  <c r="S47" i="1"/>
  <c r="R47" i="1"/>
  <c r="P47" i="1"/>
  <c r="T46" i="1"/>
  <c r="S46" i="1"/>
  <c r="R46" i="1"/>
  <c r="P46" i="1"/>
  <c r="T45" i="1"/>
  <c r="S45" i="1"/>
  <c r="R45" i="1"/>
  <c r="P45" i="1"/>
  <c r="T44" i="1"/>
  <c r="S44" i="1"/>
  <c r="R44" i="1"/>
  <c r="P44" i="1"/>
  <c r="T43" i="1"/>
  <c r="S43" i="1"/>
  <c r="R43" i="1"/>
  <c r="P43" i="1"/>
  <c r="T42" i="1"/>
  <c r="S42" i="1"/>
  <c r="R42" i="1"/>
  <c r="P42" i="1"/>
  <c r="T41" i="1"/>
  <c r="S41" i="1"/>
  <c r="R41" i="1"/>
  <c r="P41" i="1"/>
  <c r="T40" i="1"/>
  <c r="S40" i="1"/>
  <c r="R40" i="1"/>
  <c r="P40" i="1"/>
  <c r="T39" i="1"/>
  <c r="S39" i="1"/>
  <c r="R39" i="1"/>
  <c r="P39" i="1"/>
  <c r="T38" i="1"/>
  <c r="S38" i="1"/>
  <c r="R38" i="1"/>
  <c r="P38" i="1"/>
  <c r="T37" i="1"/>
  <c r="S37" i="1"/>
  <c r="R37" i="1"/>
  <c r="P37" i="1"/>
  <c r="T36" i="1"/>
  <c r="S36" i="1"/>
  <c r="R36" i="1"/>
  <c r="P36" i="1"/>
  <c r="T35" i="1"/>
  <c r="S35" i="1"/>
  <c r="R35" i="1"/>
  <c r="P35" i="1"/>
  <c r="T34" i="1"/>
  <c r="S34" i="1"/>
  <c r="R34" i="1"/>
  <c r="P34" i="1"/>
  <c r="T33" i="1"/>
  <c r="S33" i="1"/>
  <c r="R33" i="1"/>
  <c r="P33" i="1"/>
  <c r="T32" i="1"/>
  <c r="S32" i="1"/>
  <c r="R32" i="1"/>
  <c r="P32" i="1"/>
  <c r="T31" i="1"/>
  <c r="S31" i="1"/>
  <c r="R31" i="1"/>
  <c r="P31" i="1"/>
  <c r="T30" i="1"/>
  <c r="S30" i="1"/>
  <c r="R30" i="1"/>
  <c r="P30" i="1"/>
  <c r="T29" i="1"/>
  <c r="S29" i="1"/>
  <c r="R29" i="1"/>
  <c r="P29" i="1"/>
  <c r="T28" i="1"/>
  <c r="S28" i="1"/>
  <c r="R28" i="1"/>
  <c r="P28" i="1"/>
  <c r="T27" i="1"/>
  <c r="S27" i="1"/>
  <c r="R27" i="1"/>
  <c r="P27" i="1"/>
  <c r="T26" i="1"/>
  <c r="S26" i="1"/>
  <c r="R26" i="1"/>
  <c r="P26" i="1"/>
  <c r="T25" i="1"/>
  <c r="S25" i="1"/>
  <c r="R25" i="1"/>
  <c r="P25" i="1"/>
  <c r="T24" i="1"/>
  <c r="S24" i="1"/>
  <c r="R24" i="1"/>
  <c r="P24" i="1"/>
  <c r="T23" i="1"/>
  <c r="S23" i="1"/>
  <c r="R23" i="1"/>
  <c r="P23" i="1"/>
  <c r="T22" i="1"/>
  <c r="S22" i="1"/>
  <c r="R22" i="1"/>
  <c r="P22" i="1"/>
  <c r="T21" i="1"/>
  <c r="S21" i="1"/>
  <c r="R21" i="1"/>
  <c r="P21" i="1"/>
  <c r="T20" i="1"/>
  <c r="S20" i="1"/>
  <c r="R20" i="1"/>
  <c r="P20" i="1"/>
  <c r="T19" i="1"/>
  <c r="S19" i="1"/>
  <c r="R19" i="1"/>
  <c r="P19" i="1"/>
  <c r="T18" i="1"/>
  <c r="S18" i="1"/>
  <c r="R18" i="1"/>
  <c r="P18" i="1"/>
  <c r="T17" i="1"/>
  <c r="S17" i="1"/>
  <c r="R17" i="1"/>
  <c r="P17" i="1"/>
  <c r="T16" i="1"/>
  <c r="S16" i="1"/>
  <c r="R16" i="1"/>
  <c r="P16" i="1"/>
  <c r="T15" i="1"/>
  <c r="S15" i="1"/>
  <c r="R15" i="1"/>
  <c r="P15" i="1"/>
  <c r="T14" i="1"/>
  <c r="S14" i="1"/>
  <c r="R14" i="1"/>
  <c r="P14" i="1"/>
  <c r="T13" i="1"/>
  <c r="S13" i="1"/>
  <c r="R13" i="1"/>
  <c r="P13" i="1"/>
  <c r="T12" i="1"/>
  <c r="S12" i="1"/>
  <c r="R12" i="1"/>
  <c r="P12" i="1"/>
  <c r="T11" i="1"/>
  <c r="S11" i="1"/>
  <c r="R11" i="1"/>
  <c r="P11" i="1"/>
  <c r="T10" i="1"/>
  <c r="S10" i="1"/>
  <c r="R10" i="1"/>
  <c r="P10" i="1"/>
  <c r="T9" i="1"/>
  <c r="S9" i="1"/>
  <c r="R9" i="1"/>
  <c r="P9" i="1"/>
  <c r="T8" i="1"/>
  <c r="S8" i="1"/>
  <c r="R8" i="1"/>
  <c r="P8" i="1"/>
  <c r="T7" i="1"/>
  <c r="S7" i="1"/>
  <c r="R7" i="1"/>
  <c r="P7" i="1"/>
  <c r="T6" i="1"/>
  <c r="S6" i="1"/>
  <c r="R6" i="1"/>
  <c r="P6" i="1"/>
  <c r="T5" i="1"/>
  <c r="S5" i="1"/>
  <c r="R5" i="1"/>
  <c r="P5" i="1"/>
  <c r="T4" i="1"/>
  <c r="S4" i="1"/>
  <c r="R4" i="1"/>
  <c r="P4" i="1"/>
  <c r="T3" i="1"/>
  <c r="S3" i="1"/>
  <c r="R3" i="1"/>
  <c r="P3" i="1"/>
  <c r="T2" i="1"/>
  <c r="S2" i="1"/>
  <c r="R2" i="1"/>
  <c r="Q2" i="1"/>
  <c r="P2" i="1"/>
  <c r="N2" i="1"/>
  <c r="M2" i="1"/>
  <c r="G3" i="6"/>
  <c r="G13" i="4"/>
</calcChain>
</file>

<file path=xl/sharedStrings.xml><?xml version="1.0" encoding="utf-8"?>
<sst xmlns="http://schemas.openxmlformats.org/spreadsheetml/2006/main" count="1448" uniqueCount="303">
  <si>
    <t>Order_ID</t>
  </si>
  <si>
    <t>Order_Date</t>
  </si>
  <si>
    <t>Customer_ID</t>
  </si>
  <si>
    <t>City</t>
  </si>
  <si>
    <t>Product_Name</t>
  </si>
  <si>
    <t>Category</t>
  </si>
  <si>
    <t>Quantity</t>
  </si>
  <si>
    <t>Unit_Price</t>
  </si>
  <si>
    <t>Discount_%</t>
  </si>
  <si>
    <t>Sales_Amount</t>
  </si>
  <si>
    <t>Payment_Mode</t>
  </si>
  <si>
    <t>Delivery_Status</t>
  </si>
  <si>
    <t>FK0001</t>
  </si>
  <si>
    <t>Bangalore</t>
  </si>
  <si>
    <t>Mobile</t>
  </si>
  <si>
    <t>Electronics</t>
  </si>
  <si>
    <t>UPI</t>
  </si>
  <si>
    <t>Cancelled</t>
  </si>
  <si>
    <t>FK0002</t>
  </si>
  <si>
    <t>Madurai</t>
  </si>
  <si>
    <t>T-Shirt</t>
  </si>
  <si>
    <t>Fashion</t>
  </si>
  <si>
    <t>Card</t>
  </si>
  <si>
    <t>Delivered</t>
  </si>
  <si>
    <t>FK0003</t>
  </si>
  <si>
    <t>Pune</t>
  </si>
  <si>
    <t>Pending</t>
  </si>
  <si>
    <t>FK0004</t>
  </si>
  <si>
    <t>Hyderabad</t>
  </si>
  <si>
    <t>Backpack</t>
  </si>
  <si>
    <t>Travel</t>
  </si>
  <si>
    <t>COD</t>
  </si>
  <si>
    <t>FK0005</t>
  </si>
  <si>
    <t>Smartwatch</t>
  </si>
  <si>
    <t>Wearables</t>
  </si>
  <si>
    <t>FK0006</t>
  </si>
  <si>
    <t>Keyboard</t>
  </si>
  <si>
    <t>Accessories</t>
  </si>
  <si>
    <t>FK0007</t>
  </si>
  <si>
    <t>FK0008</t>
  </si>
  <si>
    <t>Delhi</t>
  </si>
  <si>
    <t>Net Banking</t>
  </si>
  <si>
    <t>FK0009</t>
  </si>
  <si>
    <t>Monitor</t>
  </si>
  <si>
    <t>FK0010</t>
  </si>
  <si>
    <t>Headphones</t>
  </si>
  <si>
    <t>FK0011</t>
  </si>
  <si>
    <t>Chennai</t>
  </si>
  <si>
    <t>FK0012</t>
  </si>
  <si>
    <t>Kolkata</t>
  </si>
  <si>
    <t>FK0013</t>
  </si>
  <si>
    <t>Shoes</t>
  </si>
  <si>
    <t>FK0014</t>
  </si>
  <si>
    <t>Camera</t>
  </si>
  <si>
    <t>FK0015</t>
  </si>
  <si>
    <t>FK0016</t>
  </si>
  <si>
    <t>FK0017</t>
  </si>
  <si>
    <t>FK0018</t>
  </si>
  <si>
    <t>Mumbai</t>
  </si>
  <si>
    <t>FK0019</t>
  </si>
  <si>
    <t>FK0020</t>
  </si>
  <si>
    <t>FK0021</t>
  </si>
  <si>
    <t>FK0022</t>
  </si>
  <si>
    <t>FK0023</t>
  </si>
  <si>
    <t>FK0024</t>
  </si>
  <si>
    <t>Laptop</t>
  </si>
  <si>
    <t>FK0025</t>
  </si>
  <si>
    <t>FK0026</t>
  </si>
  <si>
    <t>FK0027</t>
  </si>
  <si>
    <t>FK0028</t>
  </si>
  <si>
    <t>FK0029</t>
  </si>
  <si>
    <t>FK0030</t>
  </si>
  <si>
    <t>FK0031</t>
  </si>
  <si>
    <t>FK0032</t>
  </si>
  <si>
    <t>FK0033</t>
  </si>
  <si>
    <t>FK0034</t>
  </si>
  <si>
    <t>FK0035</t>
  </si>
  <si>
    <t>FK0036</t>
  </si>
  <si>
    <t>FK0037</t>
  </si>
  <si>
    <t>FK0038</t>
  </si>
  <si>
    <t>FK0039</t>
  </si>
  <si>
    <t>FK0040</t>
  </si>
  <si>
    <t>FK0041</t>
  </si>
  <si>
    <t>FK0042</t>
  </si>
  <si>
    <t>FK0043</t>
  </si>
  <si>
    <t>FK0044</t>
  </si>
  <si>
    <t>FK0045</t>
  </si>
  <si>
    <t>FK0046</t>
  </si>
  <si>
    <t>FK0047</t>
  </si>
  <si>
    <t>FK0048</t>
  </si>
  <si>
    <t>FK0049</t>
  </si>
  <si>
    <t>FK0050</t>
  </si>
  <si>
    <t>FK0051</t>
  </si>
  <si>
    <t>FK0052</t>
  </si>
  <si>
    <t>FK0053</t>
  </si>
  <si>
    <t>FK0054</t>
  </si>
  <si>
    <t>FK0055</t>
  </si>
  <si>
    <t>FK0056</t>
  </si>
  <si>
    <t>FK0057</t>
  </si>
  <si>
    <t>FK0058</t>
  </si>
  <si>
    <t>FK0059</t>
  </si>
  <si>
    <t>FK0060</t>
  </si>
  <si>
    <t>FK0061</t>
  </si>
  <si>
    <t>FK0062</t>
  </si>
  <si>
    <t>FK0063</t>
  </si>
  <si>
    <t>FK0064</t>
  </si>
  <si>
    <t>FK0065</t>
  </si>
  <si>
    <t>FK0066</t>
  </si>
  <si>
    <t>FK0067</t>
  </si>
  <si>
    <t>FK0068</t>
  </si>
  <si>
    <t>FK0069</t>
  </si>
  <si>
    <t>FK0070</t>
  </si>
  <si>
    <t>FK0071</t>
  </si>
  <si>
    <t>FK0072</t>
  </si>
  <si>
    <t>FK0073</t>
  </si>
  <si>
    <t>FK0074</t>
  </si>
  <si>
    <t>FK0075</t>
  </si>
  <si>
    <t>FK0076</t>
  </si>
  <si>
    <t>FK0077</t>
  </si>
  <si>
    <t>FK0078</t>
  </si>
  <si>
    <t>FK0079</t>
  </si>
  <si>
    <t>FK0080</t>
  </si>
  <si>
    <t>FK0081</t>
  </si>
  <si>
    <t>FK0082</t>
  </si>
  <si>
    <t>FK0083</t>
  </si>
  <si>
    <t>FK0084</t>
  </si>
  <si>
    <t>FK0085</t>
  </si>
  <si>
    <t>FK0086</t>
  </si>
  <si>
    <t>FK0087</t>
  </si>
  <si>
    <t>FK0088</t>
  </si>
  <si>
    <t>FK0089</t>
  </si>
  <si>
    <t>FK0090</t>
  </si>
  <si>
    <t>FK0091</t>
  </si>
  <si>
    <t>FK0092</t>
  </si>
  <si>
    <t>FK0093</t>
  </si>
  <si>
    <t>FK0094</t>
  </si>
  <si>
    <t>FK0095</t>
  </si>
  <si>
    <t>FK0096</t>
  </si>
  <si>
    <t>FK0097</t>
  </si>
  <si>
    <t>FK0098</t>
  </si>
  <si>
    <t>FK0099</t>
  </si>
  <si>
    <t>FK0100</t>
  </si>
  <si>
    <t>FK0101</t>
  </si>
  <si>
    <t>FK0102</t>
  </si>
  <si>
    <t>FK0103</t>
  </si>
  <si>
    <t>FK0104</t>
  </si>
  <si>
    <t>FK0105</t>
  </si>
  <si>
    <t>FK0106</t>
  </si>
  <si>
    <t>FK0107</t>
  </si>
  <si>
    <t>FK0108</t>
  </si>
  <si>
    <t>FK0109</t>
  </si>
  <si>
    <t>FK0110</t>
  </si>
  <si>
    <t>FK0111</t>
  </si>
  <si>
    <t>FK0112</t>
  </si>
  <si>
    <t>FK0113</t>
  </si>
  <si>
    <t>FK0114</t>
  </si>
  <si>
    <t>FK0115</t>
  </si>
  <si>
    <t>FK0116</t>
  </si>
  <si>
    <t>FK0117</t>
  </si>
  <si>
    <t>FK0118</t>
  </si>
  <si>
    <t>FK0119</t>
  </si>
  <si>
    <t>FK0120</t>
  </si>
  <si>
    <t>FK0121</t>
  </si>
  <si>
    <t>FK0122</t>
  </si>
  <si>
    <t>FK0123</t>
  </si>
  <si>
    <t>FK0124</t>
  </si>
  <si>
    <t>FK0125</t>
  </si>
  <si>
    <t>FK0126</t>
  </si>
  <si>
    <t>FK0127</t>
  </si>
  <si>
    <t>FK0128</t>
  </si>
  <si>
    <t>FK0129</t>
  </si>
  <si>
    <t>FK0130</t>
  </si>
  <si>
    <t>FK0131</t>
  </si>
  <si>
    <t>FK0132</t>
  </si>
  <si>
    <t>FK0133</t>
  </si>
  <si>
    <t>FK0134</t>
  </si>
  <si>
    <t>FK0135</t>
  </si>
  <si>
    <t>FK0136</t>
  </si>
  <si>
    <t>FK0137</t>
  </si>
  <si>
    <t>FK0138</t>
  </si>
  <si>
    <t>FK0139</t>
  </si>
  <si>
    <t>FK0140</t>
  </si>
  <si>
    <t>FK0141</t>
  </si>
  <si>
    <t>FK0142</t>
  </si>
  <si>
    <t>FK0143</t>
  </si>
  <si>
    <t>FK0144</t>
  </si>
  <si>
    <t>FK0145</t>
  </si>
  <si>
    <t>FK0146</t>
  </si>
  <si>
    <t>FK0147</t>
  </si>
  <si>
    <t>FK0148</t>
  </si>
  <si>
    <t>FK0149</t>
  </si>
  <si>
    <t>FK0150</t>
  </si>
  <si>
    <t>FK0151</t>
  </si>
  <si>
    <t>FK0152</t>
  </si>
  <si>
    <t>FK0153</t>
  </si>
  <si>
    <t>FK0154</t>
  </si>
  <si>
    <t>FK0155</t>
  </si>
  <si>
    <t>FK0156</t>
  </si>
  <si>
    <t>FK0157</t>
  </si>
  <si>
    <t>FK0158</t>
  </si>
  <si>
    <t>FK0159</t>
  </si>
  <si>
    <t>FK0160</t>
  </si>
  <si>
    <t>FK0161</t>
  </si>
  <si>
    <t>FK0162</t>
  </si>
  <si>
    <t>FK0163</t>
  </si>
  <si>
    <t>FK0164</t>
  </si>
  <si>
    <t>FK0165</t>
  </si>
  <si>
    <t>FK0166</t>
  </si>
  <si>
    <t>FK0167</t>
  </si>
  <si>
    <t>FK0168</t>
  </si>
  <si>
    <t>FK0169</t>
  </si>
  <si>
    <t>FK0170</t>
  </si>
  <si>
    <t>FK0171</t>
  </si>
  <si>
    <t>FK0172</t>
  </si>
  <si>
    <t>FK0173</t>
  </si>
  <si>
    <t>FK0174</t>
  </si>
  <si>
    <t>FK0175</t>
  </si>
  <si>
    <t>FK0176</t>
  </si>
  <si>
    <t>FK0177</t>
  </si>
  <si>
    <t>FK0178</t>
  </si>
  <si>
    <t>FK0179</t>
  </si>
  <si>
    <t>FK0180</t>
  </si>
  <si>
    <t>FK0181</t>
  </si>
  <si>
    <t>FK0182</t>
  </si>
  <si>
    <t>FK0183</t>
  </si>
  <si>
    <t>FK0184</t>
  </si>
  <si>
    <t>FK0185</t>
  </si>
  <si>
    <t>FK0186</t>
  </si>
  <si>
    <t>FK0187</t>
  </si>
  <si>
    <t>FK0188</t>
  </si>
  <si>
    <t>FK0189</t>
  </si>
  <si>
    <t>FK0190</t>
  </si>
  <si>
    <t>FK0191</t>
  </si>
  <si>
    <t>FK0192</t>
  </si>
  <si>
    <t>FK0193</t>
  </si>
  <si>
    <t>FK0194</t>
  </si>
  <si>
    <t>FK0195</t>
  </si>
  <si>
    <t>FK0196</t>
  </si>
  <si>
    <t>FK0197</t>
  </si>
  <si>
    <t>FK0198</t>
  </si>
  <si>
    <t>FK0199</t>
  </si>
  <si>
    <t>FK0200</t>
  </si>
  <si>
    <t>CountBlank</t>
  </si>
  <si>
    <t>Check duplicate Order IDs</t>
  </si>
  <si>
    <t>Format Order Date</t>
  </si>
  <si>
    <t>DD-MM-YYYY</t>
  </si>
  <si>
    <t>Month Column</t>
  </si>
  <si>
    <t>Year Column</t>
  </si>
  <si>
    <t>Sales Category</t>
  </si>
  <si>
    <t>Discount Type</t>
  </si>
  <si>
    <t>Delivery Result</t>
  </si>
  <si>
    <t>Total Sales</t>
  </si>
  <si>
    <t>Total Orders</t>
  </si>
  <si>
    <t xml:space="preserve"> Total Quantity Sold</t>
  </si>
  <si>
    <t xml:space="preserve"> Average Sales Amount</t>
  </si>
  <si>
    <t xml:space="preserve"> Maximum Sales Order</t>
  </si>
  <si>
    <t xml:space="preserve"> Minimum Sales Order</t>
  </si>
  <si>
    <t>Row Labels</t>
  </si>
  <si>
    <t>Grand Total</t>
  </si>
  <si>
    <t>Sum of Sales_Amount</t>
  </si>
  <si>
    <t>1. Which category has highest sales?</t>
  </si>
  <si>
    <t>2. Which product sold most?</t>
  </si>
  <si>
    <t>Sum of Quantity</t>
  </si>
  <si>
    <t>3. Top 5 products by sales</t>
  </si>
  <si>
    <t>4. Average unit price by category</t>
  </si>
  <si>
    <t>Average of Unit_Price</t>
  </si>
  <si>
    <t>5. Category contribution percentage</t>
  </si>
  <si>
    <t>1. Which city has highest sales?</t>
  </si>
  <si>
    <t>2. Total orders by city</t>
  </si>
  <si>
    <t>Count of Order_ID</t>
  </si>
  <si>
    <t>3. Average sales by city</t>
  </si>
  <si>
    <t>Average of Sales_Amount</t>
  </si>
  <si>
    <t>4. City with maximum quantity sold</t>
  </si>
  <si>
    <t>1. Most used payment mode</t>
  </si>
  <si>
    <t>2. Payment mode contribution to sales</t>
  </si>
  <si>
    <t>3. Payment mode percentage</t>
  </si>
  <si>
    <t>1. Count of Delivered vs Pending Orders</t>
  </si>
  <si>
    <t>Column Labels</t>
  </si>
  <si>
    <t>2. Which city has more pending deliveries?</t>
  </si>
  <si>
    <t>3. Sales amount by delivery status</t>
  </si>
  <si>
    <t>2. Which category gives highest discount?</t>
  </si>
  <si>
    <t>Sum of Discount_%</t>
  </si>
  <si>
    <t>Average of Discount_%</t>
  </si>
  <si>
    <t xml:space="preserve"> Average discount percentage</t>
  </si>
  <si>
    <t xml:space="preserve"> Compare discount vs sales</t>
  </si>
  <si>
    <t>High discount products</t>
  </si>
  <si>
    <t>1. Monthly sales trend</t>
  </si>
  <si>
    <t>Jan</t>
  </si>
  <si>
    <t>Feb</t>
  </si>
  <si>
    <t>Mar</t>
  </si>
  <si>
    <t>Apr</t>
  </si>
  <si>
    <t>May</t>
  </si>
  <si>
    <t>Jun</t>
  </si>
  <si>
    <t>Jul</t>
  </si>
  <si>
    <t>Aug</t>
  </si>
  <si>
    <t>Sep</t>
  </si>
  <si>
    <t>Oct</t>
  </si>
  <si>
    <t>Nov</t>
  </si>
  <si>
    <t>Dec</t>
  </si>
  <si>
    <t>Monthly quantity sold</t>
  </si>
  <si>
    <t>Monthly order count</t>
  </si>
  <si>
    <t xml:space="preserve"> Best performing month</t>
  </si>
  <si>
    <t>DD-MMM-YYYY</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</si>
</sst>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14" fontId="1" fillId="0" borderId="0" xfId="0" applyNumberFormat="1" applyFont="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0" borderId="0" xfId="0" applyFont="1" applyAlignment="1"/>
    <xf numFmtId="14" fontId="0" fillId="0" borderId="0" xfId="0" applyNumberFormat="1" applyAlignment="1">
      <alignment horizontal="left"/>
    </xf>
    <xf numFmtId="0" fontId="1" fillId="2" borderId="0" xfId="0" applyFont="1" applyFill="1"/>
    <xf numFmtId="0" fontId="1" fillId="0" borderId="0" xfId="0" applyFont="1" applyAlignment="1">
      <alignment horizontal="center"/>
    </xf>
    <xf numFmtId="0" fontId="0" fillId="0" borderId="0" xfId="0" applyAlignment="1">
      <alignment horizontal="center"/>
    </xf>
  </cellXfs>
  <cellStyles count="1">
    <cellStyle name="Normal" xfId="0" builtinId="0"/>
  </cellStyles>
  <dxfs count="7">
    <dxf>
      <numFmt numFmtId="19" formatCode="dd/mm/yyyy"/>
    </dxf>
    <dxf>
      <font>
        <b/>
        <i val="0"/>
        <strike val="0"/>
        <condense val="0"/>
        <extend val="0"/>
        <outline val="0"/>
        <shadow val="0"/>
        <u val="none"/>
        <vertAlign val="baseline"/>
        <sz val="11"/>
        <color theme="1"/>
        <name val="Calibri"/>
        <scheme val="minor"/>
      </font>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[Flipkart_Sales_Analysis_Dataset (Recovered).xlsx]Product Analysis!PivotTable1</c:name>
    <c:fmtId val="11"/>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sz="1800" b="0" i="0" u="none" strike="noStrike" cap="all" baseline="0">
                <a:effectLst/>
              </a:rPr>
              <a:t>Category-wise Sales</a:t>
            </a:r>
            <a:endParaRPr lang="en-US"/>
          </a:p>
        </c:rich>
      </c:tx>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layout/>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'Product Analysis'!$B$3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'Product Analysis'!$A$4:$A$9</c:f>
              <c:strCache>
                <c:ptCount val="5"/>
                <c:pt idx="0">
                  <c:v>Accessories</c:v>
                </c:pt>
                <c:pt idx="1">
                  <c:v>Electronics</c:v>
                </c:pt>
                <c:pt idx="2">
                  <c:v>Fashion</c:v>
                </c:pt>
                <c:pt idx="3">
                  <c:v>Travel</c:v>
                </c:pt>
                <c:pt idx="4">
                  <c:v>Wearables</c:v>
                </c:pt>
              </c:strCache>
            </c:strRef>
          </c:cat>
          <c:val>
            <c:numRef>
              <c:f>'Product Analysis'!$B$4:$B$9</c:f>
              <c:numCache>
                <c:formatCode>General</c:formatCode>
                <c:ptCount val="5"/>
                <c:pt idx="0">
                  <c:v>2549837.4500000002</c:v>
                </c:pt>
                <c:pt idx="1">
                  <c:v>4003751.9000000004</c:v>
                </c:pt>
                <c:pt idx="2">
                  <c:v>3044049.2000000007</c:v>
                </c:pt>
                <c:pt idx="3">
                  <c:v>1638622.95</c:v>
                </c:pt>
                <c:pt idx="4">
                  <c:v>1134891.3999999999</c:v>
                </c:pt>
              </c:numCache>
            </c:numRef>
          </c:val>
        </c:ser>
        <c:dLbls>
          <c:showLegendKey val="0"/>
          <c:showVal val="1"/>
          <c:showCatName val="0"/>
          <c:showSerName val="0"/>
          <c:showPercent val="0"/>
          <c:showBubbleSize val="0"/>
        </c:dLbls>
        <c:gapWidth val="84"/>
        <c:gapDepth val="53"/>
        <c:shape val="box"/>
        <c:axId val="-25979344"/>
        <c:axId val="-25978256"/>
        <c:axId val="0"/>
      </c:bar3DChart>
      <c:catAx>
        <c:axId val="-25979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5978256"/>
        <c:crosses val="autoZero"/>
        <c:auto val="1"/>
        <c:lblAlgn val="ctr"/>
        <c:lblOffset val="100"/>
        <c:noMultiLvlLbl val="0"/>
      </c:catAx>
      <c:valAx>
        <c:axId val="-25978256"/>
        <c:scaling>
          <c:orientation val="minMax"/>
        </c:scaling>
        <c:delete val="1"/>
        <c:axPos val="l"/>
        <c:numFmt formatCode="General" sourceLinked="1"/>
        <c:majorTickMark val="out"/>
        <c:minorTickMark val="none"/>
        <c:tickLblPos val="nextTo"/>
        <c:crossAx val="-259793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[Flipkart_Sales_Analysis_Dataset (Recovered).xlsx]Product Analysis!PivotTable2</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Top Products</a:t>
            </a:r>
          </a:p>
        </c:rich>
      </c:tx>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'Product Analysis'!$E$3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'Product Analysis'!$D$4:$D$14</c:f>
              <c:strCache>
                <c:ptCount val="10"/>
                <c:pt idx="0">
                  <c:v>Shoes</c:v>
                </c:pt>
                <c:pt idx="1">
                  <c:v>Backpack</c:v>
                </c:pt>
                <c:pt idx="2">
                  <c:v>Headphones</c:v>
                </c:pt>
                <c:pt idx="3">
                  <c:v>T-Shirt</c:v>
                </c:pt>
                <c:pt idx="4">
                  <c:v>Keyboard</c:v>
                </c:pt>
                <c:pt idx="5">
                  <c:v>Smartwatch</c:v>
                </c:pt>
                <c:pt idx="6">
                  <c:v>Camera</c:v>
                </c:pt>
                <c:pt idx="7">
                  <c:v>Laptop</c:v>
                </c:pt>
                <c:pt idx="8">
                  <c:v>Monitor</c:v>
                </c:pt>
                <c:pt idx="9">
                  <c:v>Mobile</c:v>
                </c:pt>
              </c:strCache>
            </c:strRef>
          </c:cat>
          <c:val>
            <c:numRef>
              <c:f>'Product Analysis'!$E$4:$E$14</c:f>
              <c:numCache>
                <c:formatCode>General</c:formatCode>
                <c:ptCount val="10"/>
                <c:pt idx="0">
                  <c:v>78</c:v>
                </c:pt>
                <c:pt idx="1">
                  <c:v>76</c:v>
                </c:pt>
                <c:pt idx="2">
                  <c:v>66</c:v>
                </c:pt>
                <c:pt idx="3">
                  <c:v>65</c:v>
                </c:pt>
                <c:pt idx="4">
                  <c:v>65</c:v>
                </c:pt>
                <c:pt idx="5">
                  <c:v>58</c:v>
                </c:pt>
                <c:pt idx="6">
                  <c:v>53</c:v>
                </c:pt>
                <c:pt idx="7">
                  <c:v>48</c:v>
                </c:pt>
                <c:pt idx="8">
                  <c:v>45</c:v>
                </c:pt>
                <c:pt idx="9">
                  <c:v>39</c:v>
                </c:pt>
              </c:numCache>
            </c:numRef>
          </c:val>
        </c:ser>
        <c:dLbls>
          <c:dLblPos val="outEnd"/>
          <c:showLegendKey val="0"/>
          <c:showVal val="1"/>
          <c:showCatName val="0"/>
          <c:showSerName val="0"/>
          <c:showPercent val="0"/>
          <c:showBubbleSize val="0"/>
        </c:dLbls>
        <c:gapWidth val="164"/>
        <c:overlap val="-22"/>
        <c:axId val="-25980432"/>
        <c:axId val="-25982064"/>
      </c:barChart>
      <c:catAx>
        <c:axId val="-2598043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82064"/>
        <c:crosses val="autoZero"/>
        <c:auto val="1"/>
        <c:lblAlgn val="ctr"/>
        <c:lblOffset val="100"/>
        <c:noMultiLvlLbl val="0"/>
      </c:catAx>
      <c:valAx>
        <c:axId val="-25982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804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[Flipkart_Sales_Analysis_Dataset (Recovered).xlsx]City Analysis!PivotTable6</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City-wise Sales</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'City Analysis'!$B$3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'City Analysis'!$A$4:$A$12</c:f>
              <c:strCache>
                <c:ptCount val="8"/>
                <c:pt idx="0">
                  <c:v>Madurai</c:v>
                </c:pt>
                <c:pt idx="1">
                  <c:v>Kolkata</c:v>
                </c:pt>
                <c:pt idx="2">
                  <c:v>Delhi</c:v>
                </c:pt>
                <c:pt idx="3">
                  <c:v>Pune</c:v>
                </c:pt>
                <c:pt idx="4">
                  <c:v>Chennai</c:v>
                </c:pt>
                <c:pt idx="5">
                  <c:v>Bangalore</c:v>
                </c:pt>
                <c:pt idx="6">
                  <c:v>Mumbai</c:v>
                </c:pt>
                <c:pt idx="7">
                  <c:v>Hyderabad</c:v>
                </c:pt>
              </c:strCache>
            </c:strRef>
          </c:cat>
          <c:val>
            <c:numRef>
              <c:f>'City Analysis'!$B$4:$B$12</c:f>
              <c:numCache>
                <c:formatCode>General</c:formatCode>
                <c:ptCount val="8"/>
                <c:pt idx="0">
                  <c:v>2228986.5999999996</c:v>
                </c:pt>
                <c:pt idx="1">
                  <c:v>2087869.4499999997</c:v>
                </c:pt>
                <c:pt idx="2">
                  <c:v>1791971.7500000002</c:v>
                </c:pt>
                <c:pt idx="3">
                  <c:v>1671425.4</c:v>
                </c:pt>
                <c:pt idx="4">
                  <c:v>1388186.35</c:v>
                </c:pt>
                <c:pt idx="5">
                  <c:v>1365256.35</c:v>
                </c:pt>
                <c:pt idx="6">
                  <c:v>1221296.5999999999</c:v>
                </c:pt>
                <c:pt idx="7">
                  <c:v>616160.40000000014</c:v>
                </c:pt>
              </c:numCache>
            </c:numRef>
          </c:val>
        </c:ser>
        <c:dLbls>
          <c:dLblPos val="inEnd"/>
          <c:showLegendKey val="0"/>
          <c:showVal val="1"/>
          <c:showCatName val="0"/>
          <c:showSerName val="0"/>
          <c:showPercent val="0"/>
          <c:showBubbleSize val="0"/>
        </c:dLbls>
        <c:gapWidth val="65"/>
        <c:axId val="-25977168"/>
        <c:axId val="-25976624"/>
      </c:barChart>
      <c:catAx>
        <c:axId val="-2597716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5976624"/>
        <c:crosses val="autoZero"/>
        <c:auto val="1"/>
        <c:lblAlgn val="ctr"/>
        <c:lblOffset val="100"/>
        <c:noMultiLvlLbl val="0"/>
      </c:catAx>
      <c:valAx>
        <c:axId val="-259766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5977168"/>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[Flipkart_Sales_Analysis_Dataset (Recovered).xlsx]DELIVERY STATUS ANALYSIS!PivotTable14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Delivery Status Analysis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'DELIVERY STATUS ANALYSIS'!$K$3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'DELIVERY STATUS ANALYSIS'!$J$4:$J$7</c:f>
              <c:strCache>
                <c:ptCount val="3"/>
                <c:pt idx="0">
                  <c:v>Cancelled</c:v>
                </c:pt>
                <c:pt idx="1">
                  <c:v>Delivered</c:v>
                </c:pt>
                <c:pt idx="2">
                  <c:v>Pending</c:v>
                </c:pt>
              </c:strCache>
            </c:strRef>
          </c:cat>
          <c:val>
            <c:numRef>
              <c:f>'DELIVERY STATUS ANALYSIS'!$K$4:$K$7</c:f>
              <c:numCache>
                <c:formatCode>General</c:formatCode>
                <c:ptCount val="3"/>
                <c:pt idx="0">
                  <c:v>3510091.75</c:v>
                </c:pt>
                <c:pt idx="1">
                  <c:v>4794071.8499999996</c:v>
                </c:pt>
                <c:pt idx="2">
                  <c:v>4066989.3000000007</c:v>
                </c:pt>
              </c:numCache>
            </c:numRef>
          </c:val>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[Flipkart_Sales_Analysis_Dataset (Recovered).xlsx]PAYMENT MODE ANALYSIS!PivotTable11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rPr>
              <a:t>Payment Mode Distribution</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'PAYMENT MODE ANALYSIS'!$E$3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'PAYMENT MODE ANALYSIS'!$D$4:$D$8</c:f>
              <c:strCache>
                <c:ptCount val="4"/>
                <c:pt idx="0">
                  <c:v>Card</c:v>
                </c:pt>
                <c:pt idx="1">
                  <c:v>COD</c:v>
                </c:pt>
                <c:pt idx="2">
                  <c:v>Net Banking</c:v>
                </c:pt>
                <c:pt idx="3">
                  <c:v>UPI</c:v>
                </c:pt>
              </c:strCache>
            </c:strRef>
          </c:cat>
          <c:val>
            <c:numRef>
              <c:f>'PAYMENT MODE ANALYSIS'!$E$4:$E$8</c:f>
              <c:numCache>
                <c:formatCode>General</c:formatCode>
                <c:ptCount val="4"/>
                <c:pt idx="0">
                  <c:v>2349959.6500000004</c:v>
                </c:pt>
                <c:pt idx="1">
                  <c:v>3547164.1000000006</c:v>
                </c:pt>
                <c:pt idx="2">
                  <c:v>2659915.4499999997</c:v>
                </c:pt>
                <c:pt idx="3">
                  <c:v>3814113.6999999997</c:v>
                </c:pt>
              </c:numCache>
            </c:numRef>
          </c:val>
        </c:ser>
        <c:dLbls>
          <c:dLblPos val="bestFit"/>
          <c:showLegendKey val="0"/>
          <c:showVal val="1"/>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[Flipkart_Sales_Analysis_Dataset (Recovered).xlsx] DISCOUNT ANALYSIS!PivotTable16</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sz="1800" b="0" i="0" u="none" strike="noStrike" cap="all" baseline="0">
                <a:effectLst/>
              </a:rPr>
              <a:t>Discount vs Sales</a:t>
            </a:r>
            <a:endParaRPr lang="en-IN"/>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C0504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557987943814716"/>
          <c:y val="0.16564596092155148"/>
          <c:w val="0.51372593810389089"/>
          <c:h val="0.75010279965004378"/>
        </c:manualLayout>
      </c:layout>
      <c:bar3DChart>
        <c:barDir val="col"/>
        <c:grouping val="clustered"/>
        <c:varyColors val="0"/>
        <c:ser>
          <c:idx val="0"/>
          <c:order val="0"/>
          <c:tx>
            <c:strRef>
              <c:f>' DISCOUNT ANALYSIS'!$E$3</c:f>
              <c:strCache>
                <c:ptCount val="1"/>
                <c:pt idx="0">
                  <c:v>Sum of Discount_%</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 DISCOUNT ANALYSIS'!$E$4</c:f>
              <c:strCache>
                <c:ptCount val="1"/>
                <c:pt idx="0">
                  <c:v>Total</c:v>
                </c:pt>
              </c:strCache>
            </c:strRef>
          </c:cat>
          <c:val>
            <c:numRef>
              <c:f>' DISCOUNT ANALYSIS'!$E$4</c:f>
              <c:numCache>
                <c:formatCode>General</c:formatCode>
                <c:ptCount val="1"/>
                <c:pt idx="0">
                  <c:v>2905</c:v>
                </c:pt>
              </c:numCache>
            </c:numRef>
          </c:val>
        </c:ser>
        <c:ser>
          <c:idx val="1"/>
          <c:order val="1"/>
          <c:tx>
            <c:strRef>
              <c:f>' DISCOUNT ANALYSIS'!$F$3</c:f>
              <c:strCache>
                <c:ptCount val="1"/>
                <c:pt idx="0">
                  <c:v>Sum of Sales_Amount</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C0504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 DISCOUNT ANALYSIS'!$E$4</c:f>
              <c:strCache>
                <c:ptCount val="1"/>
                <c:pt idx="0">
                  <c:v>Total</c:v>
                </c:pt>
              </c:strCache>
            </c:strRef>
          </c:cat>
          <c:val>
            <c:numRef>
              <c:f>' DISCOUNT ANALYSIS'!$F$4</c:f>
              <c:numCache>
                <c:formatCode>General</c:formatCode>
                <c:ptCount val="1"/>
                <c:pt idx="0">
                  <c:v>12371152.899999995</c:v>
                </c:pt>
              </c:numCache>
            </c:numRef>
          </c:val>
        </c:ser>
        <c:dLbls>
          <c:showLegendKey val="0"/>
          <c:showVal val="1"/>
          <c:showCatName val="0"/>
          <c:showSerName val="0"/>
          <c:showPercent val="0"/>
          <c:showBubbleSize val="0"/>
        </c:dLbls>
        <c:gapWidth val="84"/>
        <c:gapDepth val="53"/>
        <c:shape val="box"/>
        <c:axId val="-25991312"/>
        <c:axId val="-25985872"/>
        <c:axId val="0"/>
      </c:bar3DChart>
      <c:catAx>
        <c:axId val="-25991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5985872"/>
        <c:crosses val="autoZero"/>
        <c:auto val="1"/>
        <c:lblAlgn val="ctr"/>
        <c:lblOffset val="100"/>
        <c:noMultiLvlLbl val="0"/>
      </c:catAx>
      <c:valAx>
        <c:axId val="-25985872"/>
        <c:scaling>
          <c:orientation val="minMax"/>
        </c:scaling>
        <c:delete val="1"/>
        <c:axPos val="l"/>
        <c:numFmt formatCode="General" sourceLinked="1"/>
        <c:majorTickMark val="out"/>
        <c:minorTickMark val="none"/>
        <c:tickLblPos val="nextTo"/>
        <c:crossAx val="-2599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[Flipkart_Sales_Analysis_Dataset (Recovered).xlsx]TIME-BASED ANALYSIS!PivotTable18</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lineChart>
        <c:grouping val="standard"/>
        <c:varyColors val="0"/>
        <c:ser>
          <c:idx val="0"/>
          <c:order val="0"/>
          <c:tx>
            <c:strRef>
              <c:f>'TIME-BASED ANALYSIS'!$B$3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'TIME-BASED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'TIME-BASED ANALYSIS'!$B$4:$B$16</c:f>
              <c:numCache>
                <c:formatCode>General</c:formatCode>
                <c:ptCount val="12"/>
                <c:pt idx="0">
                  <c:v>674943.64999999991</c:v>
                </c:pt>
                <c:pt idx="1">
                  <c:v>757304.20000000007</c:v>
                </c:pt>
                <c:pt idx="2">
                  <c:v>1118681.5999999999</c:v>
                </c:pt>
                <c:pt idx="3">
                  <c:v>607215.30000000005</c:v>
                </c:pt>
                <c:pt idx="4">
                  <c:v>1075377.6500000001</c:v>
                </c:pt>
                <c:pt idx="5">
                  <c:v>791408.8</c:v>
                </c:pt>
                <c:pt idx="6">
                  <c:v>1062970.75</c:v>
                </c:pt>
                <c:pt idx="7">
                  <c:v>712323.8</c:v>
                </c:pt>
                <c:pt idx="8">
                  <c:v>844334.7</c:v>
                </c:pt>
                <c:pt idx="9">
                  <c:v>1855775.65</c:v>
                </c:pt>
                <c:pt idx="10">
                  <c:v>1380716.3000000003</c:v>
                </c:pt>
                <c:pt idx="11">
                  <c:v>1490100.5</c:v>
                </c:pt>
              </c:numCache>
            </c:numRef>
          </c:val>
          <c:smooth val="0"/>
        </c:ser>
        <c:dLbls>
          <c:showLegendKey val="0"/>
          <c:showVal val="0"/>
          <c:showCatName val="0"/>
          <c:showSerName val="0"/>
          <c:showPercent val="0"/>
          <c:showBubbleSize val="0"/>
        </c:dLbls>
        <c:marker val="1"/>
        <c:smooth val="0"/>
        <c:axId val="-25984784"/>
        <c:axId val="-25983696"/>
      </c:lineChart>
      <c:catAx>
        <c:axId val="-2598478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983696"/>
        <c:crosses val="autoZero"/>
        <c:auto val="1"/>
        <c:lblAlgn val="ctr"/>
        <c:lblOffset val="100"/>
        <c:noMultiLvlLbl val="0"/>
      </c:catAx>
      <c:valAx>
        <c:axId val="-259836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98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[Flipkart_Sales_Analysis_Dataset (Recovered).xlsx]TIME-BASED ANALYSIS!PivotTable18</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Monthly sales trend</a:t>
            </a:r>
          </a:p>
        </c:rich>
      </c:tx>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s>
    <c:plotArea>
      <c:layout/>
      <c:lineChart>
        <c:grouping val="standard"/>
        <c:varyColors val="0"/>
        <c:ser>
          <c:idx val="0"/>
          <c:order val="0"/>
          <c:tx>
            <c:strRef>
              <c:f>'TIME-BASED ANALYSIS'!$B$3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'TIME-BASED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'TIME-BASED ANALYSIS'!$B$4:$B$16</c:f>
              <c:numCache>
                <c:formatCode>General</c:formatCode>
                <c:ptCount val="12"/>
                <c:pt idx="0">
                  <c:v>674943.64999999991</c:v>
                </c:pt>
                <c:pt idx="1">
                  <c:v>757304.20000000007</c:v>
                </c:pt>
                <c:pt idx="2">
                  <c:v>1118681.5999999999</c:v>
                </c:pt>
                <c:pt idx="3">
                  <c:v>607215.30000000005</c:v>
                </c:pt>
                <c:pt idx="4">
                  <c:v>1075377.6500000001</c:v>
                </c:pt>
                <c:pt idx="5">
                  <c:v>791408.8</c:v>
                </c:pt>
                <c:pt idx="6">
                  <c:v>1062970.75</c:v>
                </c:pt>
                <c:pt idx="7">
                  <c:v>712323.8</c:v>
                </c:pt>
                <c:pt idx="8">
                  <c:v>844334.7</c:v>
                </c:pt>
                <c:pt idx="9">
                  <c:v>1855775.65</c:v>
                </c:pt>
                <c:pt idx="10">
                  <c:v>1380716.3000000003</c:v>
                </c:pt>
                <c:pt idx="11">
                  <c:v>1490100.5</c:v>
                </c:pt>
              </c:numCache>
            </c:numRef>
          </c:val>
          <c:smooth val="0"/>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1970320"/>
        <c:axId val="-21973040"/>
      </c:lineChart>
      <c:catAx>
        <c:axId val="-2197032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1973040"/>
        <c:crosses val="autoZero"/>
        <c:auto val="1"/>
        <c:lblAlgn val="ctr"/>
        <c:lblOffset val="100"/>
        <c:noMultiLvlLbl val="0"/>
      </c:catAx>
      <c:valAx>
        <c:axId val="-21973040"/>
        <c:scaling>
          <c:orientation val="minMax"/>
        </c:scaling>
        <c:delete val="1"/>
        <c:axPos val="l"/>
        <c:numFmt formatCode="General" sourceLinked="1"/>
        <c:majorTickMark val="none"/>
        <c:minorTickMark val="none"/>
        <c:tickLblPos val="nextTo"/>
        <c:crossAx val="-219703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[Flipkart_Sales_Analysis_Dataset (Recovered).xlsx]Product Analysis!PivotTable1</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Category-wise Sales</a:t>
            </a: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3.963963963963950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'Product Analysis'!$B$3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Pt>
            <c:idx val="4"/>
            <c:invertIfNegative val="0"/>
            <c:bubble3D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Pt>
          <c:dLbls>
            <c:dLbl>
              <c:idx val="4"/>
              <c:layout>
                <c:manualLayout>
                  <c:x val="3.9639639639639505E-2"/>
                  <c:y val="0"/>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'Product Analysis'!$A$4:$A$9</c:f>
              <c:strCache>
                <c:ptCount val="5"/>
                <c:pt idx="0">
                  <c:v>Accessories</c:v>
                </c:pt>
                <c:pt idx="1">
                  <c:v>Electronics</c:v>
                </c:pt>
                <c:pt idx="2">
                  <c:v>Fashion</c:v>
                </c:pt>
                <c:pt idx="3">
                  <c:v>Travel</c:v>
                </c:pt>
                <c:pt idx="4">
                  <c:v>Wearables</c:v>
                </c:pt>
              </c:strCache>
            </c:strRef>
          </c:cat>
          <c:val>
            <c:numRef>
              <c:f>'Product Analysis'!$B$4:$B$9</c:f>
              <c:numCache>
                <c:formatCode>General</c:formatCode>
                <c:ptCount val="5"/>
                <c:pt idx="0">
                  <c:v>2549837.4500000002</c:v>
                </c:pt>
                <c:pt idx="1">
                  <c:v>4003751.9000000004</c:v>
                </c:pt>
                <c:pt idx="2">
                  <c:v>3044049.2000000007</c:v>
                </c:pt>
                <c:pt idx="3">
                  <c:v>1638622.95</c:v>
                </c:pt>
                <c:pt idx="4">
                  <c:v>1134891.3999999999</c:v>
                </c:pt>
              </c:numCache>
            </c:numRef>
          </c:val>
        </c:ser>
        <c:dLbls>
          <c:showLegendKey val="0"/>
          <c:showVal val="1"/>
          <c:showCatName val="0"/>
          <c:showSerName val="0"/>
          <c:showPercent val="0"/>
          <c:showBubbleSize val="0"/>
        </c:dLbls>
        <c:gapWidth val="65"/>
        <c:shape val="box"/>
        <c:axId val="-21969776"/>
        <c:axId val="-21968144"/>
        <c:axId val="0"/>
      </c:bar3DChart>
      <c:catAx>
        <c:axId val="-2196977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968144"/>
        <c:crosses val="autoZero"/>
        <c:auto val="1"/>
        <c:lblAlgn val="ctr"/>
        <c:lblOffset val="100"/>
        <c:noMultiLvlLbl val="0"/>
      </c:catAx>
      <c:valAx>
        <c:axId val="-21968144"/>
        <c:scaling>
          <c:orientation val="minMax"/>
        </c:scaling>
        <c:delete val="1"/>
        <c:axPos val="l"/>
        <c:numFmt formatCode="General" sourceLinked="1"/>
        <c:majorTickMark val="none"/>
        <c:minorTickMark val="none"/>
        <c:tickLblPos val="nextTo"/>
        <c:crossAx val="-21969776"/>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[Flipkart_Sales_Analysis_Dataset (Recovered).xlsx]City Analysis!PivotTable6</c:name>
    <c:fmtId val="3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City-wise Sales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7935931085537378E-3"/>
              <c:y val="-6.441223832528180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4017094017094013E-3"/>
              <c:y val="-2.57648953301127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0059269909737196E-2"/>
              <c:y val="6.441223832528180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495327102803738"/>
                  <c:h val="0.16083735909822866"/>
                </c:manualLayout>
              </c15:layout>
            </c:ext>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8366642703091296E-2"/>
              <c:y val="-5.9043869718353595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156801661474558"/>
                  <c:h val="0.16083735909822866"/>
                </c:manualLayout>
              </c15:layout>
            </c:ext>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547008547008547E-4"/>
              <c:y val="-6.441223832528180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213605146948292E-2"/>
              <c:y val="-1.1882855810441129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864817131503421"/>
                  <c:h val="7.7198321224339714E-2"/>
                </c:manualLayout>
              </c15:layout>
            </c:ext>
          </c:extLst>
        </c:dLbl>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4017094017095279E-3"/>
              <c:y val="-1.1808773943670719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0315680166147453E-2"/>
              <c:y val="-1.28824476650563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495327102803738"/>
                  <c:h val="0.16083735909822866"/>
                </c:manualLayout>
              </c15:layout>
            </c:ext>
          </c:extLst>
        </c:dLbl>
      </c:pivotFmt>
    </c:pivotFmts>
    <c:plotArea>
      <c:layout>
        <c:manualLayout>
          <c:layoutTarget val="inner"/>
          <c:xMode val="edge"/>
          <c:yMode val="edge"/>
          <c:x val="0.18789474392623998"/>
          <c:y val="0.25462157809983899"/>
          <c:w val="0.64845844269466313"/>
          <c:h val="0.59595318701104394"/>
        </c:manualLayout>
      </c:layout>
      <c:barChart>
        <c:barDir val="bar"/>
        <c:grouping val="clustered"/>
        <c:varyColors val="0"/>
        <c:ser>
          <c:idx val="0"/>
          <c:order val="0"/>
          <c:tx>
            <c:strRef>
              <c:f>'City Analysis'!$B$3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7"/>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dLbl>
              <c:idx val="0"/>
              <c:layout>
                <c:manualLayout>
                  <c:x val="-9.4017094017095279E-3"/>
                  <c:y val="-1.1808773943670719E-16"/>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2.0315680166147453E-2"/>
                  <c:y val="-1.2882447665056361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1495327102803738"/>
                      <c:h val="0.16083735909822866"/>
                    </c:manualLayout>
                  </c15:layout>
                </c:ext>
              </c:extLst>
            </c:dLbl>
            <c:dLbl>
              <c:idx val="2"/>
              <c:layout>
                <c:manualLayout>
                  <c:x val="1.213605146948292E-2"/>
                  <c:y val="-1.1882855810441129E-16"/>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0864817131503421"/>
                      <c:h val="7.7198321224339714E-2"/>
                    </c:manualLayout>
                  </c15:layout>
                </c:ext>
              </c:extLst>
            </c:dLbl>
            <c:dLbl>
              <c:idx val="3"/>
              <c:layout>
                <c:manualLayout>
                  <c:x val="8.547008547008547E-4"/>
                  <c:y val="-6.4412238325281803E-3"/>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1.8366642703091296E-2"/>
                  <c:y val="-5.9043869718353595E-1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3156801661474558"/>
                      <c:h val="0.16083735909822866"/>
                    </c:manualLayout>
                  </c15:layout>
                </c:ext>
              </c:extLst>
            </c:dLbl>
            <c:dLbl>
              <c:idx val="5"/>
              <c:layout>
                <c:manualLayout>
                  <c:x val="1.0059269909737196E-2"/>
                  <c:y val="6.4412238325281803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1495327102803738"/>
                      <c:h val="0.16083735909822866"/>
                    </c:manualLayout>
                  </c15:layout>
                </c:ext>
              </c:extLst>
            </c:dLbl>
            <c:dLbl>
              <c:idx val="6"/>
              <c:layout>
                <c:manualLayout>
                  <c:x val="-9.4017094017094013E-3"/>
                  <c:y val="-2.5764895330112721E-2"/>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8.7935931085537378E-3"/>
                  <c:y val="-6.4412238325281803E-3"/>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'City Analysis'!$A$4:$A$12</c:f>
              <c:strCache>
                <c:ptCount val="8"/>
                <c:pt idx="0">
                  <c:v>Madurai</c:v>
                </c:pt>
                <c:pt idx="1">
                  <c:v>Kolkata</c:v>
                </c:pt>
                <c:pt idx="2">
                  <c:v>Delhi</c:v>
                </c:pt>
                <c:pt idx="3">
                  <c:v>Pune</c:v>
                </c:pt>
                <c:pt idx="4">
                  <c:v>Chennai</c:v>
                </c:pt>
                <c:pt idx="5">
                  <c:v>Bangalore</c:v>
                </c:pt>
                <c:pt idx="6">
                  <c:v>Mumbai</c:v>
                </c:pt>
                <c:pt idx="7">
                  <c:v>Hyderabad</c:v>
                </c:pt>
              </c:strCache>
            </c:strRef>
          </c:cat>
          <c:val>
            <c:numRef>
              <c:f>'City Analysis'!$B$4:$B$12</c:f>
              <c:numCache>
                <c:formatCode>General</c:formatCode>
                <c:ptCount val="8"/>
                <c:pt idx="0">
                  <c:v>2228986.5999999996</c:v>
                </c:pt>
                <c:pt idx="1">
                  <c:v>2087869.4499999997</c:v>
                </c:pt>
                <c:pt idx="2">
                  <c:v>1791971.7500000002</c:v>
                </c:pt>
                <c:pt idx="3">
                  <c:v>1671425.4</c:v>
                </c:pt>
                <c:pt idx="4">
                  <c:v>1388186.35</c:v>
                </c:pt>
                <c:pt idx="5">
                  <c:v>1365256.35</c:v>
                </c:pt>
                <c:pt idx="6">
                  <c:v>1221296.5999999999</c:v>
                </c:pt>
                <c:pt idx="7">
                  <c:v>616160.40000000014</c:v>
                </c:pt>
              </c:numCache>
            </c:numRef>
          </c:val>
        </c:ser>
        <c:dLbls>
          <c:dLblPos val="inEnd"/>
          <c:showLegendKey val="0"/>
          <c:showVal val="1"/>
          <c:showCatName val="0"/>
          <c:showSerName val="0"/>
          <c:showPercent val="0"/>
          <c:showBubbleSize val="0"/>
        </c:dLbls>
        <c:gapWidth val="115"/>
        <c:overlap val="-20"/>
        <c:axId val="-21975216"/>
        <c:axId val="-21969232"/>
      </c:barChart>
      <c:catAx>
        <c:axId val="-2197521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969232"/>
        <c:crosses val="autoZero"/>
        <c:auto val="1"/>
        <c:lblAlgn val="ctr"/>
        <c:lblOffset val="100"/>
        <c:noMultiLvlLbl val="0"/>
      </c:catAx>
      <c:valAx>
        <c:axId val="-21969232"/>
        <c:scaling>
          <c:orientation val="minMax"/>
        </c:scaling>
        <c:delete val="1"/>
        <c:axPos val="b"/>
        <c:numFmt formatCode="General" sourceLinked="1"/>
        <c:majorTickMark val="none"/>
        <c:minorTickMark val="none"/>
        <c:tickLblPos val="nextTo"/>
        <c:crossAx val="-21975216"/>
        <c:crosses val="autoZero"/>
        <c:crossBetween val="between"/>
      </c:valAx>
      <c:spPr>
        <a:noFill/>
        <a:ln>
          <a:noFill/>
        </a:ln>
        <a:effectLst/>
      </c:spPr>
    </c:plotArea>
    <c:legend>
      <c:legendPos val="r"/>
      <c:layout>
        <c:manualLayout>
          <c:xMode val="edge"/>
          <c:yMode val="edge"/>
          <c:x val="0.74871603666364139"/>
          <c:y val="5.7259943956280847E-2"/>
          <c:w val="0.23882290414632751"/>
          <c:h val="0.579714709574346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[Flipkart_Sales_Analysis_Dataset (Recovered).xlsx]PAYMENT MODE ANALYSIS!PivotTable11</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Payment Mode Distribution</a:t>
            </a:r>
            <a:endParaRPr lang="en-US"/>
          </a:p>
        </c:rich>
      </c:tx>
      <c:layout>
        <c:manualLayout>
          <c:xMode val="edge"/>
          <c:yMode val="edge"/>
          <c:x val="7.2200040150788514E-2"/>
          <c:y val="3.361346020576554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379923118675328"/>
              <c:y val="-4.55312404469620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ext>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7873495274847018"/>
              <c:y val="0.133501900572090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ext>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0046232889444061"/>
              <c:y val="-4.88317116970871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ext>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6541232629207291E-3"/>
              <c:y val="-1.468714117520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7771482530689331E-3"/>
          <c:y val="0.33585448988927408"/>
          <c:w val="0.95467422096317278"/>
          <c:h val="0.60252083306682236"/>
        </c:manualLayout>
      </c:layout>
      <c:pie3DChart>
        <c:varyColors val="1"/>
        <c:ser>
          <c:idx val="0"/>
          <c:order val="0"/>
          <c:tx>
            <c:strRef>
              <c:f>'PAYMENT MODE ANALYSIS'!$E$3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dLbl>
              <c:idx val="0"/>
              <c:layout>
                <c:manualLayout>
                  <c:x val="-0.11379923118675328"/>
                  <c:y val="-4.5531240446962003E-2"/>
                </c:manualLayout>
              </c:layout>
              <c:dLblPos val="bestFit"/>
              <c:showLegendKey val="0"/>
              <c:showVal val="1"/>
              <c:showCatName val="1"/>
              <c:showSerName val="0"/>
              <c:showPercent val="0"/>
              <c:showBubbleSize val="0"/>
              <c:extLst>
                <c:ext xmlns:c15="http://schemas.microsoft.com/office/drawing/2012/chart" uri="{CE6537A1-D6FC-4f65-9D91-7224C49458BB}">
                  <c15:layout/>
                </c:ext>
              </c:extLst>
            </c:dLbl>
            <c:dLbl>
              <c:idx val="1"/>
              <c:layout>
                <c:manualLayout>
                  <c:x val="-0.17873495274847018"/>
                  <c:y val="0.13350190057209041"/>
                </c:manualLayout>
              </c:layout>
              <c:dLblPos val="bestFit"/>
              <c:showLegendKey val="0"/>
              <c:showVal val="1"/>
              <c:showCatName val="1"/>
              <c:showSerName val="0"/>
              <c:showPercent val="0"/>
              <c:showBubbleSize val="0"/>
              <c:extLst>
                <c:ext xmlns:c15="http://schemas.microsoft.com/office/drawing/2012/chart" uri="{CE6537A1-D6FC-4f65-9D91-7224C49458BB}">
                  <c15:layout/>
                </c:ext>
              </c:extLst>
            </c:dLbl>
            <c:dLbl>
              <c:idx val="2"/>
              <c:layout>
                <c:manualLayout>
                  <c:x val="-0.10046232889444061"/>
                  <c:y val="-4.8831711697087145E-2"/>
                </c:manualLayout>
              </c:layout>
              <c:dLblPos val="bestFit"/>
              <c:showLegendKey val="0"/>
              <c:showVal val="1"/>
              <c:showCatName val="1"/>
              <c:showSerName val="0"/>
              <c:showPercent val="0"/>
              <c:showBubbleSize val="0"/>
              <c:extLst>
                <c:ext xmlns:c15="http://schemas.microsoft.com/office/drawing/2012/chart" uri="{CE6537A1-D6FC-4f65-9D91-7224C49458BB}">
                  <c15:layout/>
                </c:ext>
              </c:extLst>
            </c:dLbl>
            <c:dLbl>
              <c:idx val="3"/>
              <c:layout>
                <c:manualLayout>
                  <c:x val="5.6541232629207291E-3"/>
                  <c:y val="-1.46871411752095E-2"/>
                </c:manualLayout>
              </c:layout>
              <c:dLblPos val="bestFit"/>
              <c:showLegendKey val="0"/>
              <c:showVal val="1"/>
              <c:showCatName val="1"/>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MODE ANALYSIS'!$D$4:$D$8</c:f>
              <c:strCache>
                <c:ptCount val="4"/>
                <c:pt idx="0">
                  <c:v>Card</c:v>
                </c:pt>
                <c:pt idx="1">
                  <c:v>COD</c:v>
                </c:pt>
                <c:pt idx="2">
                  <c:v>Net Banking</c:v>
                </c:pt>
                <c:pt idx="3">
                  <c:v>UPI</c:v>
                </c:pt>
              </c:strCache>
            </c:strRef>
          </c:cat>
          <c:val>
            <c:numRef>
              <c:f>'PAYMENT MODE ANALYSIS'!$E$4:$E$8</c:f>
              <c:numCache>
                <c:formatCode>General</c:formatCode>
                <c:ptCount val="4"/>
                <c:pt idx="0">
                  <c:v>2349959.6500000004</c:v>
                </c:pt>
                <c:pt idx="1">
                  <c:v>3547164.1000000006</c:v>
                </c:pt>
                <c:pt idx="2">
                  <c:v>2659915.4499999997</c:v>
                </c:pt>
                <c:pt idx="3">
                  <c:v>3814113.6999999997</c:v>
                </c:pt>
              </c:numCache>
            </c:numRef>
          </c:val>
        </c:ser>
        <c:dLbls>
          <c:dLblPos val="inEnd"/>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5530979307473234"/>
          <c:y val="9.7421247676943767E-2"/>
          <c:w val="0.23335876216606069"/>
          <c:h val="0.382355756569733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[Flipkart_Sales_Analysis_Dataset (Recovered).xlsx]DELIVERY STATUS ANALYSIS!PivotTable14</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Delivery Status Analysis</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'DELIVERY STATUS ANALYSIS'!$K$3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'DELIVERY STATUS ANALYSIS'!$J$4:$J$7</c:f>
              <c:strCache>
                <c:ptCount val="3"/>
                <c:pt idx="0">
                  <c:v>Cancelled</c:v>
                </c:pt>
                <c:pt idx="1">
                  <c:v>Delivered</c:v>
                </c:pt>
                <c:pt idx="2">
                  <c:v>Pending</c:v>
                </c:pt>
              </c:strCache>
            </c:strRef>
          </c:cat>
          <c:val>
            <c:numRef>
              <c:f>'DELIVERY STATUS ANALYSIS'!$K$4:$K$7</c:f>
              <c:numCache>
                <c:formatCode>General</c:formatCode>
                <c:ptCount val="3"/>
                <c:pt idx="0">
                  <c:v>3510091.75</c:v>
                </c:pt>
                <c:pt idx="1">
                  <c:v>4794071.8499999996</c:v>
                </c:pt>
                <c:pt idx="2">
                  <c:v>4066989.3000000007</c:v>
                </c:pt>
              </c:numCache>
            </c:numRef>
          </c:val>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[Flipkart_Sales_Analysis_Dataset (Recovered).xlsx]Product Analysis!PivotTable2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Products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'Product Analysis'!$E$3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'Product Analysis'!$D$4:$D$14</c:f>
              <c:strCache>
                <c:ptCount val="10"/>
                <c:pt idx="0">
                  <c:v>Shoes</c:v>
                </c:pt>
                <c:pt idx="1">
                  <c:v>Backpack</c:v>
                </c:pt>
                <c:pt idx="2">
                  <c:v>Headphones</c:v>
                </c:pt>
                <c:pt idx="3">
                  <c:v>T-Shirt</c:v>
                </c:pt>
                <c:pt idx="4">
                  <c:v>Keyboard</c:v>
                </c:pt>
                <c:pt idx="5">
                  <c:v>Smartwatch</c:v>
                </c:pt>
                <c:pt idx="6">
                  <c:v>Camera</c:v>
                </c:pt>
                <c:pt idx="7">
                  <c:v>Laptop</c:v>
                </c:pt>
                <c:pt idx="8">
                  <c:v>Monitor</c:v>
                </c:pt>
                <c:pt idx="9">
                  <c:v>Mobile</c:v>
                </c:pt>
              </c:strCache>
            </c:strRef>
          </c:cat>
          <c:val>
            <c:numRef>
              <c:f>'Product Analysis'!$E$4:$E$14</c:f>
              <c:numCache>
                <c:formatCode>General</c:formatCode>
                <c:ptCount val="10"/>
                <c:pt idx="0">
                  <c:v>78</c:v>
                </c:pt>
                <c:pt idx="1">
                  <c:v>76</c:v>
                </c:pt>
                <c:pt idx="2">
                  <c:v>66</c:v>
                </c:pt>
                <c:pt idx="3">
                  <c:v>65</c:v>
                </c:pt>
                <c:pt idx="4">
                  <c:v>65</c:v>
                </c:pt>
                <c:pt idx="5">
                  <c:v>58</c:v>
                </c:pt>
                <c:pt idx="6">
                  <c:v>53</c:v>
                </c:pt>
                <c:pt idx="7">
                  <c:v>48</c:v>
                </c:pt>
                <c:pt idx="8">
                  <c:v>45</c:v>
                </c:pt>
                <c:pt idx="9">
                  <c:v>39</c:v>
                </c:pt>
              </c:numCache>
            </c:numRef>
          </c:val>
        </c:ser>
        <c:dLbls>
          <c:dLblPos val="outEnd"/>
          <c:showLegendKey val="0"/>
          <c:showVal val="1"/>
          <c:showCatName val="0"/>
          <c:showSerName val="0"/>
          <c:showPercent val="0"/>
          <c:showBubbleSize val="0"/>
        </c:dLbls>
        <c:gapWidth val="100"/>
        <c:overlap val="-24"/>
        <c:axId val="-21971408"/>
        <c:axId val="-21964880"/>
      </c:barChart>
      <c:catAx>
        <c:axId val="-219714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964880"/>
        <c:crosses val="autoZero"/>
        <c:auto val="1"/>
        <c:lblAlgn val="ctr"/>
        <c:lblOffset val="100"/>
        <c:noMultiLvlLbl val="0"/>
      </c:catAx>
      <c:valAx>
        <c:axId val="-21964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9714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304800</xdr:colOff>
      <xdr:row>15</xdr:row>
      <xdr:rowOff>42862</xdr:rowOff>
    </xdr:from>
    <xdr:to>
      <xdr:col>4</xdr:col>
      <xdr:colOff>876300</xdr:colOff>
      <xdr:row>29</xdr:row>
      <xdr:rowOff>119062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571500</xdr:colOff>
      <xdr:row>10</xdr:row>
      <xdr:rowOff>61912</xdr:rowOff>
    </xdr:from>
    <xdr:to>
      <xdr:col>10</xdr:col>
      <xdr:colOff>800100</xdr:colOff>
      <xdr:row>24</xdr:row>
      <xdr:rowOff>138112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700087</xdr:colOff>
      <xdr:row>13</xdr:row>
      <xdr:rowOff>52387</xdr:rowOff>
    </xdr:from>
    <xdr:to>
      <xdr:col>5</xdr:col>
      <xdr:colOff>385762</xdr:colOff>
      <xdr:row>27</xdr:row>
      <xdr:rowOff>128587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366712</xdr:colOff>
      <xdr:row>13</xdr:row>
      <xdr:rowOff>176212</xdr:rowOff>
    </xdr:from>
    <xdr:to>
      <xdr:col>9</xdr:col>
      <xdr:colOff>138112</xdr:colOff>
      <xdr:row>28</xdr:row>
      <xdr:rowOff>61912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709612</xdr:colOff>
      <xdr:row>9</xdr:row>
      <xdr:rowOff>42862</xdr:rowOff>
    </xdr:from>
    <xdr:to>
      <xdr:col>5</xdr:col>
      <xdr:colOff>395287</xdr:colOff>
      <xdr:row>23</xdr:row>
      <xdr:rowOff>119062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142875</xdr:colOff>
      <xdr:row>6</xdr:row>
      <xdr:rowOff>23812</xdr:rowOff>
    </xdr:from>
    <xdr:to>
      <xdr:col>7</xdr:col>
      <xdr:colOff>66675</xdr:colOff>
      <xdr:row>20</xdr:row>
      <xdr:rowOff>100012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542925</xdr:colOff>
      <xdr:row>1</xdr:row>
      <xdr:rowOff>71437</xdr:rowOff>
    </xdr:from>
    <xdr:to>
      <xdr:col>10</xdr:col>
      <xdr:colOff>238125</xdr:colOff>
      <xdr:row>15</xdr:row>
      <xdr:rowOff>147637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absolute">
    <xdr:from>
      <xdr:col>13</xdr:col>
      <xdr:colOff>628650</xdr:colOff>
      <xdr:row>39</xdr:row>
      <xdr:rowOff>9525</xdr:rowOff>
    </xdr:from>
    <xdr:to>
      <xdr:col>14</xdr:col>
      <xdr:colOff>828675</xdr:colOff>
      <xdr:row>95</xdr:row>
      <xdr:rowOff>57150</xdr:rowOff>
    </xdr:to>
    <mc:AlternateContent xmlns:mc="http://schemas.openxmlformats.org/markup-compatibility/2006" xmlns:sle15="http://schemas.microsoft.com/office/drawing/2012/slicer">
      <mc:Choice Requires="sle15">
        <xdr:graphicFrame macro="">
          <xdr:nvGraphicFramePr>
            <xdr:cNvPr id="3"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4001750" y="19145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95250</xdr:colOff>
      <xdr:row>38</xdr:row>
      <xdr:rowOff>171450</xdr:rowOff>
    </xdr:from>
    <xdr:to>
      <xdr:col>13</xdr:col>
      <xdr:colOff>536100</xdr:colOff>
      <xdr:row>68</xdr:row>
      <xdr:rowOff>112950</xdr:rowOff>
    </xdr:to>
    <mc:AlternateContent xmlns:mc="http://schemas.openxmlformats.org/markup-compatibility/2006" xmlns:sle15="http://schemas.microsoft.com/office/drawing/2012/slicer">
      <mc:Choice Requires="sle15">
        <xdr:graphicFrame macro="">
          <xdr:nvGraphicFramePr>
            <xdr:cNvPr id="4"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649200" y="1885950"/>
              <a:ext cx="1260000" cy="16560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676275</xdr:colOff>
      <xdr:row>3</xdr:row>
      <xdr:rowOff>57150</xdr:rowOff>
    </xdr:from>
    <xdr:to>
      <xdr:col>14</xdr:col>
      <xdr:colOff>379500</xdr:colOff>
      <xdr:row>38</xdr:row>
      <xdr:rowOff>127650</xdr:rowOff>
    </xdr:to>
    <mc:AlternateContent xmlns:mc="http://schemas.openxmlformats.org/markup-compatibility/2006" xmlns:sle15="http://schemas.microsoft.com/office/drawing/2012/slicer">
      <mc:Choice Requires="sle15">
        <xdr:graphicFrame macro="">
          <xdr:nvGraphicFramePr>
            <xdr:cNvPr id="5" name="Payment_Mode"/>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14049375" y="438150"/>
              <a:ext cx="1332000" cy="14040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123825</xdr:colOff>
      <xdr:row>18</xdr:row>
      <xdr:rowOff>57149</xdr:rowOff>
    </xdr:from>
    <xdr:to>
      <xdr:col>13</xdr:col>
      <xdr:colOff>600675</xdr:colOff>
      <xdr:row>38</xdr:row>
      <xdr:rowOff>66149</xdr:rowOff>
    </xdr:to>
    <mc:AlternateContent xmlns:mc="http://schemas.openxmlformats.org/markup-compatibility/2006" xmlns:sle15="http://schemas.microsoft.com/office/drawing/2012/slicer">
      <mc:Choice Requires="sle15">
        <xdr:graphicFrame macro="">
          <xdr:nvGraphicFramePr>
            <xdr:cNvPr id="6" name="Delivery_Status"/>
            <xdr:cNvGraphicFramePr/>
          </xdr:nvGraphicFramePr>
          <xdr:xfrm>
            <a:off x="0" y="0"/>
            <a:ext cx="0" cy="0"/>
          </xdr:xfrm>
          <a:graphic>
            <a:graphicData uri="http://schemas.microsoft.com/office/drawing/2010/slicer">
              <sle:slicer xmlns:sle="http://schemas.microsoft.com/office/drawing/2010/slicer" name="Delivery_Status"/>
            </a:graphicData>
          </a:graphic>
        </xdr:graphicFrame>
      </mc:Choice>
      <mc:Fallback xmlns="">
        <xdr:sp macro="" textlink="">
          <xdr:nvSpPr>
            <xdr:cNvPr id="0" name=""/>
            <xdr:cNvSpPr>
              <a:spLocks noTextEdit="1"/>
            </xdr:cNvSpPr>
          </xdr:nvSpPr>
          <xdr:spPr>
            <a:xfrm>
              <a:off x="12677775" y="628649"/>
              <a:ext cx="1296000" cy="11520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428625</xdr:colOff>
      <xdr:row>32</xdr:row>
      <xdr:rowOff>133351</xdr:rowOff>
    </xdr:to>
    <xdr:sp macro="" textlink="">
      <xdr:nvSpPr>
        <xdr:cNvPr id="2" name="Rectangle 1"/>
        <xdr:cNvSpPr/>
      </xdr:nvSpPr>
      <xdr:spPr>
        <a:xfrm>
          <a:off x="0" y="0"/>
          <a:ext cx="12620625" cy="6229351"/>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161925</xdr:colOff>
      <xdr:row>0</xdr:row>
      <xdr:rowOff>0</xdr:rowOff>
    </xdr:from>
    <xdr:to>
      <xdr:col>15</xdr:col>
      <xdr:colOff>590550</xdr:colOff>
      <xdr:row>2</xdr:row>
      <xdr:rowOff>123825</xdr:rowOff>
    </xdr:to>
    <xdr:sp macro="" textlink="">
      <xdr:nvSpPr>
        <xdr:cNvPr id="3" name="TextBox 2"/>
        <xdr:cNvSpPr txBox="1"/>
      </xdr:nvSpPr>
      <xdr:spPr>
        <a:xfrm>
          <a:off x="2600325" y="0"/>
          <a:ext cx="7134225" cy="50482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bg1"/>
              </a:solidFill>
              <a:effectLst/>
              <a:latin typeface="Times New Roman" panose="02020603050405020304" pitchFamily="18" charset="0"/>
              <a:ea typeface="+mn-ea"/>
              <a:cs typeface="Times New Roman" panose="02020603050405020304" pitchFamily="18" charset="0"/>
            </a:rPr>
            <a:t>Flipkart Sales Analysis </a:t>
          </a:r>
          <a:endParaRPr lang="en-IN" sz="28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228600</xdr:colOff>
      <xdr:row>2</xdr:row>
      <xdr:rowOff>123825</xdr:rowOff>
    </xdr:from>
    <xdr:to>
      <xdr:col>20</xdr:col>
      <xdr:colOff>219075</xdr:colOff>
      <xdr:row>2</xdr:row>
      <xdr:rowOff>123825</xdr:rowOff>
    </xdr:to>
    <xdr:cxnSp macro="">
      <xdr:nvCxnSpPr>
        <xdr:cNvPr id="7" name="Straight Connector 6"/>
        <xdr:cNvCxnSpPr/>
      </xdr:nvCxnSpPr>
      <xdr:spPr>
        <a:xfrm>
          <a:off x="228600" y="504825"/>
          <a:ext cx="12182475" cy="0"/>
        </a:xfrm>
        <a:prstGeom prst="line">
          <a:avLst/>
        </a:prstGeom>
      </xdr:spPr>
      <xdr:style>
        <a:lnRef idx="3">
          <a:schemeClr val="accent6"/>
        </a:lnRef>
        <a:fillRef idx="0">
          <a:schemeClr val="accent6"/>
        </a:fillRef>
        <a:effectRef idx="2">
          <a:schemeClr val="accent6"/>
        </a:effectRef>
        <a:fontRef idx="minor">
          <a:schemeClr val="tx1"/>
        </a:fontRef>
      </xdr:style>
    </xdr:cxnSp>
    <xdr:clientData/>
  </xdr:twoCellAnchor>
  <xdr:twoCellAnchor>
    <xdr:from>
      <xdr:col>1</xdr:col>
      <xdr:colOff>123825</xdr:colOff>
      <xdr:row>3</xdr:row>
      <xdr:rowOff>76200</xdr:rowOff>
    </xdr:from>
    <xdr:to>
      <xdr:col>4</xdr:col>
      <xdr:colOff>28574</xdr:colOff>
      <xdr:row>6</xdr:row>
      <xdr:rowOff>161925</xdr:rowOff>
    </xdr:to>
    <xdr:sp macro="" textlink="">
      <xdr:nvSpPr>
        <xdr:cNvPr id="15" name="Rounded Rectangle 14"/>
        <xdr:cNvSpPr/>
      </xdr:nvSpPr>
      <xdr:spPr>
        <a:xfrm>
          <a:off x="733425" y="647700"/>
          <a:ext cx="1733549" cy="657225"/>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ctr" rtl="0"/>
          <a:r>
            <a:rPr lang="en-IN" sz="1600" b="0" i="0" baseline="0">
              <a:solidFill>
                <a:schemeClr val="lt1"/>
              </a:solidFill>
              <a:effectLst/>
              <a:latin typeface="+mn-lt"/>
              <a:ea typeface="+mn-ea"/>
              <a:cs typeface="+mn-cs"/>
            </a:rPr>
            <a:t>Total Sales</a:t>
          </a:r>
          <a:endParaRPr lang="en-IN" sz="1600">
            <a:effectLst/>
          </a:endParaRPr>
        </a:p>
        <a:p>
          <a:pPr algn="ctr" rtl="0"/>
          <a:r>
            <a:rPr lang="en-IN" sz="1600" b="0" i="0" baseline="0">
              <a:solidFill>
                <a:schemeClr val="lt1"/>
              </a:solidFill>
              <a:effectLst/>
              <a:latin typeface="+mn-lt"/>
              <a:ea typeface="+mn-ea"/>
              <a:cs typeface="+mn-cs"/>
            </a:rPr>
            <a:t>12371153</a:t>
          </a:r>
          <a:endParaRPr lang="en-IN" sz="1600">
            <a:effectLst/>
          </a:endParaRPr>
        </a:p>
        <a:p>
          <a:pPr algn="l"/>
          <a:endParaRPr lang="en-IN" sz="1100"/>
        </a:p>
      </xdr:txBody>
    </xdr:sp>
    <xdr:clientData/>
  </xdr:twoCellAnchor>
  <xdr:twoCellAnchor>
    <xdr:from>
      <xdr:col>4</xdr:col>
      <xdr:colOff>285748</xdr:colOff>
      <xdr:row>3</xdr:row>
      <xdr:rowOff>66675</xdr:rowOff>
    </xdr:from>
    <xdr:to>
      <xdr:col>7</xdr:col>
      <xdr:colOff>38099</xdr:colOff>
      <xdr:row>6</xdr:row>
      <xdr:rowOff>179175</xdr:rowOff>
    </xdr:to>
    <xdr:sp macro="" textlink="">
      <xdr:nvSpPr>
        <xdr:cNvPr id="19" name="Rounded Rectangle 18"/>
        <xdr:cNvSpPr/>
      </xdr:nvSpPr>
      <xdr:spPr>
        <a:xfrm>
          <a:off x="2724148" y="638175"/>
          <a:ext cx="1581151" cy="68400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rtl="0"/>
          <a:r>
            <a:rPr lang="en-IN" sz="1600" b="0" i="0" baseline="0">
              <a:solidFill>
                <a:schemeClr val="lt1"/>
              </a:solidFill>
              <a:effectLst/>
              <a:latin typeface="+mn-lt"/>
              <a:ea typeface="+mn-ea"/>
              <a:cs typeface="+mn-cs"/>
            </a:rPr>
            <a:t>Total Orders</a:t>
          </a:r>
          <a:endParaRPr lang="en-IN" sz="1600">
            <a:effectLst/>
          </a:endParaRPr>
        </a:p>
        <a:p>
          <a:pPr algn="ctr" rtl="0"/>
          <a:r>
            <a:rPr lang="en-IN" sz="1600" b="0" i="0" baseline="0">
              <a:solidFill>
                <a:schemeClr val="lt1"/>
              </a:solidFill>
              <a:effectLst/>
              <a:latin typeface="+mn-lt"/>
              <a:ea typeface="+mn-ea"/>
              <a:cs typeface="+mn-cs"/>
            </a:rPr>
            <a:t>200</a:t>
          </a:r>
          <a:endParaRPr lang="en-IN" sz="1600">
            <a:effectLst/>
          </a:endParaRPr>
        </a:p>
        <a:p>
          <a:pPr algn="l"/>
          <a:endParaRPr lang="en-IN" sz="1100"/>
        </a:p>
      </xdr:txBody>
    </xdr:sp>
    <xdr:clientData/>
  </xdr:twoCellAnchor>
  <xdr:twoCellAnchor>
    <xdr:from>
      <xdr:col>7</xdr:col>
      <xdr:colOff>266697</xdr:colOff>
      <xdr:row>3</xdr:row>
      <xdr:rowOff>76200</xdr:rowOff>
    </xdr:from>
    <xdr:to>
      <xdr:col>10</xdr:col>
      <xdr:colOff>123824</xdr:colOff>
      <xdr:row>6</xdr:row>
      <xdr:rowOff>188700</xdr:rowOff>
    </xdr:to>
    <xdr:sp macro="" textlink="">
      <xdr:nvSpPr>
        <xdr:cNvPr id="20" name="Rounded Rectangle 19"/>
        <xdr:cNvSpPr/>
      </xdr:nvSpPr>
      <xdr:spPr>
        <a:xfrm>
          <a:off x="4533897" y="647700"/>
          <a:ext cx="1685927" cy="684000"/>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ctr" rtl="0"/>
          <a:r>
            <a:rPr lang="en-IN" sz="1600" b="0" i="0" baseline="0">
              <a:solidFill>
                <a:schemeClr val="lt1"/>
              </a:solidFill>
              <a:effectLst/>
              <a:latin typeface="+mn-lt"/>
              <a:ea typeface="+mn-ea"/>
              <a:cs typeface="+mn-cs"/>
            </a:rPr>
            <a:t>Total Quantity</a:t>
          </a:r>
        </a:p>
        <a:p>
          <a:pPr algn="ctr" rtl="0"/>
          <a:r>
            <a:rPr lang="en-IN" sz="1600" b="0" i="0" baseline="0">
              <a:solidFill>
                <a:schemeClr val="lt1"/>
              </a:solidFill>
              <a:effectLst/>
              <a:latin typeface="+mn-lt"/>
              <a:ea typeface="+mn-ea"/>
              <a:cs typeface="+mn-cs"/>
            </a:rPr>
            <a:t>593</a:t>
          </a:r>
          <a:endParaRPr lang="en-IN" sz="1600">
            <a:effectLst/>
          </a:endParaRPr>
        </a:p>
        <a:p>
          <a:pPr algn="l"/>
          <a:endParaRPr lang="en-IN" sz="1100"/>
        </a:p>
      </xdr:txBody>
    </xdr:sp>
    <xdr:clientData/>
  </xdr:twoCellAnchor>
  <xdr:twoCellAnchor>
    <xdr:from>
      <xdr:col>10</xdr:col>
      <xdr:colOff>304798</xdr:colOff>
      <xdr:row>3</xdr:row>
      <xdr:rowOff>95250</xdr:rowOff>
    </xdr:from>
    <xdr:to>
      <xdr:col>13</xdr:col>
      <xdr:colOff>209550</xdr:colOff>
      <xdr:row>7</xdr:row>
      <xdr:rowOff>17250</xdr:rowOff>
    </xdr:to>
    <xdr:sp macro="" textlink="">
      <xdr:nvSpPr>
        <xdr:cNvPr id="21" name="Rounded Rectangle 20"/>
        <xdr:cNvSpPr/>
      </xdr:nvSpPr>
      <xdr:spPr>
        <a:xfrm>
          <a:off x="6400798" y="666750"/>
          <a:ext cx="1733552" cy="684000"/>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ctr" rtl="0"/>
          <a:r>
            <a:rPr lang="en-IN" sz="1600" b="0" i="0" baseline="0">
              <a:solidFill>
                <a:schemeClr val="lt1"/>
              </a:solidFill>
              <a:effectLst/>
              <a:latin typeface="+mn-lt"/>
              <a:ea typeface="+mn-ea"/>
              <a:cs typeface="+mn-cs"/>
            </a:rPr>
            <a:t>Average Sales</a:t>
          </a:r>
        </a:p>
        <a:p>
          <a:pPr algn="ctr" rtl="0"/>
          <a:r>
            <a:rPr lang="en-IN" sz="1600" b="0" i="0" baseline="0">
              <a:solidFill>
                <a:schemeClr val="lt1"/>
              </a:solidFill>
              <a:effectLst/>
              <a:latin typeface="+mn-lt"/>
              <a:ea typeface="+mn-ea"/>
              <a:cs typeface="+mn-cs"/>
            </a:rPr>
            <a:t>61855.7645</a:t>
          </a:r>
          <a:endParaRPr lang="en-IN" sz="1600">
            <a:effectLst/>
          </a:endParaRPr>
        </a:p>
        <a:p>
          <a:pPr algn="l"/>
          <a:endParaRPr lang="en-IN" sz="1100"/>
        </a:p>
      </xdr:txBody>
    </xdr:sp>
    <xdr:clientData/>
  </xdr:twoCellAnchor>
  <xdr:twoCellAnchor>
    <xdr:from>
      <xdr:col>13</xdr:col>
      <xdr:colOff>342898</xdr:colOff>
      <xdr:row>3</xdr:row>
      <xdr:rowOff>95250</xdr:rowOff>
    </xdr:from>
    <xdr:to>
      <xdr:col>16</xdr:col>
      <xdr:colOff>352425</xdr:colOff>
      <xdr:row>7</xdr:row>
      <xdr:rowOff>17250</xdr:rowOff>
    </xdr:to>
    <xdr:sp macro="" textlink="">
      <xdr:nvSpPr>
        <xdr:cNvPr id="22" name="Rounded Rectangle 21"/>
        <xdr:cNvSpPr/>
      </xdr:nvSpPr>
      <xdr:spPr>
        <a:xfrm>
          <a:off x="8267698" y="666750"/>
          <a:ext cx="1838327" cy="684000"/>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ctr" rtl="0"/>
          <a:r>
            <a:rPr lang="en-IN" sz="1600" b="0" i="0" baseline="0">
              <a:solidFill>
                <a:schemeClr val="lt1"/>
              </a:solidFill>
              <a:effectLst/>
              <a:latin typeface="+mn-lt"/>
              <a:ea typeface="+mn-ea"/>
              <a:cs typeface="+mn-cs"/>
            </a:rPr>
            <a:t>Highest Sales</a:t>
          </a:r>
        </a:p>
        <a:p>
          <a:pPr algn="ctr" rtl="0"/>
          <a:r>
            <a:rPr lang="en-IN" sz="1600" b="0" i="0" baseline="0">
              <a:solidFill>
                <a:schemeClr val="lt1"/>
              </a:solidFill>
              <a:effectLst/>
              <a:latin typeface="+mn-lt"/>
              <a:ea typeface="+mn-ea"/>
              <a:cs typeface="+mn-cs"/>
            </a:rPr>
            <a:t>235201</a:t>
          </a:r>
          <a:endParaRPr lang="en-IN" sz="1100"/>
        </a:p>
      </xdr:txBody>
    </xdr:sp>
    <xdr:clientData/>
  </xdr:twoCellAnchor>
  <xdr:twoCellAnchor>
    <xdr:from>
      <xdr:col>16</xdr:col>
      <xdr:colOff>485776</xdr:colOff>
      <xdr:row>3</xdr:row>
      <xdr:rowOff>85726</xdr:rowOff>
    </xdr:from>
    <xdr:to>
      <xdr:col>19</xdr:col>
      <xdr:colOff>314326</xdr:colOff>
      <xdr:row>7</xdr:row>
      <xdr:rowOff>0</xdr:rowOff>
    </xdr:to>
    <xdr:sp macro="" textlink="">
      <xdr:nvSpPr>
        <xdr:cNvPr id="23" name="Rounded Rectangle 22"/>
        <xdr:cNvSpPr/>
      </xdr:nvSpPr>
      <xdr:spPr>
        <a:xfrm>
          <a:off x="10239376" y="657226"/>
          <a:ext cx="1657350" cy="676274"/>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rtl="0"/>
          <a:r>
            <a:rPr lang="en-IN" sz="1600" b="0" i="0" baseline="0">
              <a:solidFill>
                <a:schemeClr val="lt1"/>
              </a:solidFill>
              <a:effectLst/>
              <a:latin typeface="+mn-lt"/>
              <a:ea typeface="+mn-ea"/>
              <a:cs typeface="+mn-cs"/>
            </a:rPr>
            <a:t>Delivery Success</a:t>
          </a:r>
        </a:p>
        <a:p>
          <a:pPr algn="ctr" rtl="0"/>
          <a:r>
            <a:rPr lang="en-IN" sz="1600" b="0" i="0" baseline="0">
              <a:solidFill>
                <a:schemeClr val="lt1"/>
              </a:solidFill>
              <a:effectLst/>
              <a:latin typeface="+mn-lt"/>
              <a:ea typeface="+mn-ea"/>
              <a:cs typeface="+mn-cs"/>
            </a:rPr>
            <a:t>72%</a:t>
          </a:r>
          <a:endParaRPr lang="en-IN" sz="1100"/>
        </a:p>
      </xdr:txBody>
    </xdr:sp>
    <xdr:clientData/>
  </xdr:twoCellAnchor>
  <xdr:twoCellAnchor>
    <xdr:from>
      <xdr:col>0</xdr:col>
      <xdr:colOff>133351</xdr:colOff>
      <xdr:row>7</xdr:row>
      <xdr:rowOff>123825</xdr:rowOff>
    </xdr:from>
    <xdr:to>
      <xdr:col>5</xdr:col>
      <xdr:colOff>457201</xdr:colOff>
      <xdr:row>17</xdr:row>
      <xdr:rowOff>171450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561975</xdr:colOff>
      <xdr:row>7</xdr:row>
      <xdr:rowOff>142875</xdr:rowOff>
    </xdr:from>
    <xdr:to>
      <xdr:col>11</xdr:col>
      <xdr:colOff>123825</xdr:colOff>
      <xdr:row>18</xdr:row>
      <xdr:rowOff>1</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285750</xdr:colOff>
      <xdr:row>7</xdr:row>
      <xdr:rowOff>123825</xdr:rowOff>
    </xdr:from>
    <xdr:to>
      <xdr:col>16</xdr:col>
      <xdr:colOff>295275</xdr:colOff>
      <xdr:row>18</xdr:row>
      <xdr:rowOff>0</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123825</xdr:colOff>
      <xdr:row>18</xdr:row>
      <xdr:rowOff>123826</xdr:rowOff>
    </xdr:from>
    <xdr:to>
      <xdr:col>5</xdr:col>
      <xdr:colOff>438150</xdr:colOff>
      <xdr:row>30</xdr:row>
      <xdr:rowOff>104775</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600075</xdr:colOff>
      <xdr:row>18</xdr:row>
      <xdr:rowOff>114299</xdr:rowOff>
    </xdr:from>
    <xdr:to>
      <xdr:col>11</xdr:col>
      <xdr:colOff>133350</xdr:colOff>
      <xdr:row>30</xdr:row>
      <xdr:rowOff>95250</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276225</xdr:colOff>
      <xdr:row>18</xdr:row>
      <xdr:rowOff>133349</xdr:rowOff>
    </xdr:from>
    <xdr:to>
      <xdr:col>16</xdr:col>
      <xdr:colOff>323850</xdr:colOff>
      <xdr:row>30</xdr:row>
      <xdr:rowOff>95250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371475</xdr:colOff>
      <xdr:row>7</xdr:row>
      <xdr:rowOff>133351</xdr:rowOff>
    </xdr:from>
    <xdr:to>
      <xdr:col>18</xdr:col>
      <xdr:colOff>409575</xdr:colOff>
      <xdr:row>19</xdr:row>
      <xdr:rowOff>133350</xdr:rowOff>
    </xdr:to>
    <mc:AlternateContent xmlns:mc="http://schemas.openxmlformats.org/markup-compatibility/2006" xmlns:a14="http://schemas.microsoft.com/office/drawing/2010/main">
      <mc:Choice Requires="a14">
        <xdr:graphicFrame macro="">
          <xdr:nvGraphicFramePr>
            <xdr:cNvPr id="4" name="City 2"/>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10125075" y="1466851"/>
              <a:ext cx="1257300" cy="2285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428625</xdr:colOff>
      <xdr:row>7</xdr:row>
      <xdr:rowOff>142875</xdr:rowOff>
    </xdr:from>
    <xdr:to>
      <xdr:col>20</xdr:col>
      <xdr:colOff>409575</xdr:colOff>
      <xdr:row>18</xdr:row>
      <xdr:rowOff>66674</xdr:rowOff>
    </xdr:to>
    <mc:AlternateContent xmlns:mc="http://schemas.openxmlformats.org/markup-compatibility/2006" xmlns:a14="http://schemas.microsoft.com/office/drawing/2010/main">
      <mc:Choice Requires="a14">
        <xdr:graphicFrame macro="">
          <xdr:nvGraphicFramePr>
            <xdr:cNvPr id="6"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401425" y="1476375"/>
              <a:ext cx="1200150" cy="2019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371475</xdr:colOff>
      <xdr:row>20</xdr:row>
      <xdr:rowOff>66676</xdr:rowOff>
    </xdr:from>
    <xdr:to>
      <xdr:col>18</xdr:col>
      <xdr:colOff>171450</xdr:colOff>
      <xdr:row>26</xdr:row>
      <xdr:rowOff>180976</xdr:rowOff>
    </xdr:to>
    <mc:AlternateContent xmlns:mc="http://schemas.openxmlformats.org/markup-compatibility/2006" xmlns:a14="http://schemas.microsoft.com/office/drawing/2010/main">
      <mc:Choice Requires="a14">
        <xdr:graphicFrame macro="">
          <xdr:nvGraphicFramePr>
            <xdr:cNvPr id="8" name="Delivery_Status 2"/>
            <xdr:cNvGraphicFramePr/>
          </xdr:nvGraphicFramePr>
          <xdr:xfrm>
            <a:off x="0" y="0"/>
            <a:ext cx="0" cy="0"/>
          </xdr:xfrm>
          <a:graphic>
            <a:graphicData uri="http://schemas.microsoft.com/office/drawing/2010/slicer">
              <sle:slicer xmlns:sle="http://schemas.microsoft.com/office/drawing/2010/slicer" name="Delivery_Status 2"/>
            </a:graphicData>
          </a:graphic>
        </xdr:graphicFrame>
      </mc:Choice>
      <mc:Fallback xmlns="">
        <xdr:sp macro="" textlink="">
          <xdr:nvSpPr>
            <xdr:cNvPr id="0" name=""/>
            <xdr:cNvSpPr>
              <a:spLocks noTextEdit="1"/>
            </xdr:cNvSpPr>
          </xdr:nvSpPr>
          <xdr:spPr>
            <a:xfrm>
              <a:off x="10125075" y="3876676"/>
              <a:ext cx="1019175"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219075</xdr:colOff>
      <xdr:row>19</xdr:row>
      <xdr:rowOff>171451</xdr:rowOff>
    </xdr:from>
    <xdr:to>
      <xdr:col>20</xdr:col>
      <xdr:colOff>352425</xdr:colOff>
      <xdr:row>27</xdr:row>
      <xdr:rowOff>57151</xdr:rowOff>
    </xdr:to>
    <mc:AlternateContent xmlns:mc="http://schemas.openxmlformats.org/markup-compatibility/2006" xmlns:a14="http://schemas.microsoft.com/office/drawing/2010/main">
      <mc:Choice Requires="a14">
        <xdr:graphicFrame macro="">
          <xdr:nvGraphicFramePr>
            <xdr:cNvPr id="9" name="Payment_Mode 2"/>
            <xdr:cNvGraphicFramePr/>
          </xdr:nvGraphicFramePr>
          <xdr:xfrm>
            <a:off x="0" y="0"/>
            <a:ext cx="0" cy="0"/>
          </xdr:xfrm>
          <a:graphic>
            <a:graphicData uri="http://schemas.microsoft.com/office/drawing/2010/slicer">
              <sle:slicer xmlns:sle="http://schemas.microsoft.com/office/drawing/2010/slicer" name="Payment_Mode 2"/>
            </a:graphicData>
          </a:graphic>
        </xdr:graphicFrame>
      </mc:Choice>
      <mc:Fallback xmlns="">
        <xdr:sp macro="" textlink="">
          <xdr:nvSpPr>
            <xdr:cNvPr id="0" name=""/>
            <xdr:cNvSpPr>
              <a:spLocks noTextEdit="1"/>
            </xdr:cNvSpPr>
          </xdr:nvSpPr>
          <xdr:spPr>
            <a:xfrm>
              <a:off x="11191875" y="3790951"/>
              <a:ext cx="135255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RABAKARAN" refreshedDate="46155.655321874998" createdVersion="5" refreshedVersion="5" minRefreshableVersion="3" recordCount="200">
  <cacheSource type="worksheet">
    <worksheetSource ref="A1:L201" sheet="Flipkart_Sales_Data"/>
  </cacheSource>
  <cacheFields count="12">
    <cacheField name="Order_ID" numFmtId="0">
      <sharedItems count="200">
        <s v="FK0001"/>
        <s v="FK0002"/>
        <s v="FK0003"/>
        <s v="FK0004"/>
        <s v="FK0005"/>
        <s v="FK0006"/>
        <s v="FK0007"/>
        <s v="FK0008"/>
        <s v="FK0009"/>
        <s v="FK0010"/>
        <s v="FK0011"/>
        <s v="FK0012"/>
        <s v="FK0013"/>
        <s v="FK0014"/>
        <s v="FK0015"/>
        <s v="FK0016"/>
        <s v="FK0017"/>
        <s v="FK0018"/>
        <s v="FK0019"/>
        <s v="FK0020"/>
        <s v="FK0021"/>
        <s v="FK0022"/>
        <s v="FK0023"/>
        <s v="FK0024"/>
        <s v="FK0025"/>
        <s v="FK0026"/>
        <s v="FK0027"/>
        <s v="FK0028"/>
        <s v="FK0029"/>
        <s v="FK0030"/>
        <s v="FK0031"/>
        <s v="FK0032"/>
        <s v="FK0033"/>
        <s v="FK0034"/>
        <s v="FK0035"/>
        <s v="FK0036"/>
        <s v="FK0037"/>
        <s v="FK0038"/>
        <s v="FK0039"/>
        <s v="FK0040"/>
        <s v="FK0041"/>
        <s v="FK0042"/>
        <s v="FK0043"/>
        <s v="FK0044"/>
        <s v="FK0045"/>
        <s v="FK0046"/>
        <s v="FK0047"/>
        <s v="FK0048"/>
        <s v="FK0049"/>
        <s v="FK0050"/>
        <s v="FK0051"/>
        <s v="FK0052"/>
        <s v="FK0053"/>
        <s v="FK0054"/>
        <s v="FK0055"/>
        <s v="FK0056"/>
        <s v="FK0057"/>
        <s v="FK0058"/>
        <s v="FK0059"/>
        <s v="FK0060"/>
        <s v="FK0061"/>
        <s v="FK0062"/>
        <s v="FK0063"/>
        <s v="FK0064"/>
        <s v="FK0065"/>
        <s v="FK0066"/>
        <s v="FK0067"/>
        <s v="FK0068"/>
        <s v="FK0069"/>
        <s v="FK0070"/>
        <s v="FK0071"/>
        <s v="FK0072"/>
        <s v="FK0073"/>
        <s v="FK0074"/>
        <s v="FK0075"/>
        <s v="FK0076"/>
        <s v="FK0077"/>
        <s v="FK0078"/>
        <s v="FK0079"/>
        <s v="FK0080"/>
        <s v="FK0081"/>
        <s v="FK0082"/>
        <s v="FK0083"/>
        <s v="FK0084"/>
        <s v="FK0085"/>
        <s v="FK0086"/>
        <s v="FK0087"/>
        <s v="FK0088"/>
        <s v="FK0089"/>
        <s v="FK0090"/>
        <s v="FK0091"/>
        <s v="FK0092"/>
        <s v="FK0093"/>
        <s v="FK0094"/>
        <s v="FK0095"/>
        <s v="FK0096"/>
        <s v="FK0097"/>
        <s v="FK0098"/>
        <s v="FK0099"/>
        <s v="FK0100"/>
        <s v="FK0101"/>
        <s v="FK0102"/>
        <s v="FK0103"/>
        <s v="FK0104"/>
        <s v="FK0105"/>
        <s v="FK0106"/>
        <s v="FK0107"/>
        <s v="FK0108"/>
        <s v="FK0109"/>
        <s v="FK0110"/>
        <s v="FK0111"/>
        <s v="FK0112"/>
        <s v="FK0113"/>
        <s v="FK0114"/>
        <s v="FK0115"/>
        <s v="FK0116"/>
        <s v="FK0117"/>
        <s v="FK0118"/>
        <s v="FK0119"/>
        <s v="FK0120"/>
        <s v="FK0121"/>
        <s v="FK0122"/>
        <s v="FK0123"/>
        <s v="FK0124"/>
        <s v="FK0125"/>
        <s v="FK0126"/>
        <s v="FK0127"/>
        <s v="FK0128"/>
        <s v="FK0129"/>
        <s v="FK0130"/>
        <s v="FK0131"/>
        <s v="FK0132"/>
        <s v="FK0133"/>
        <s v="FK0134"/>
        <s v="FK0135"/>
        <s v="FK0136"/>
        <s v="FK0137"/>
        <s v="FK0138"/>
        <s v="FK0139"/>
        <s v="FK0140"/>
        <s v="FK0141"/>
        <s v="FK0142"/>
        <s v="FK0143"/>
        <s v="FK0144"/>
        <s v="FK0145"/>
        <s v="FK0146"/>
        <s v="FK0147"/>
        <s v="FK0148"/>
        <s v="FK0149"/>
        <s v="FK0150"/>
        <s v="FK0151"/>
        <s v="FK0152"/>
        <s v="FK0153"/>
        <s v="FK0154"/>
        <s v="FK0155"/>
        <s v="FK0156"/>
        <s v="FK0157"/>
        <s v="FK0158"/>
        <s v="FK0159"/>
        <s v="FK0160"/>
        <s v="FK0161"/>
        <s v="FK0162"/>
        <s v="FK0163"/>
        <s v="FK0164"/>
        <s v="FK0165"/>
        <s v="FK0166"/>
        <s v="FK0167"/>
        <s v="FK0168"/>
        <s v="FK0169"/>
        <s v="FK0170"/>
        <s v="FK0171"/>
        <s v="FK0172"/>
        <s v="FK0173"/>
        <s v="FK0174"/>
        <s v="FK0175"/>
        <s v="FK0176"/>
        <s v="FK0177"/>
        <s v="FK0178"/>
        <s v="FK0179"/>
        <s v="FK0180"/>
        <s v="FK0181"/>
        <s v="FK0182"/>
        <s v="FK0183"/>
        <s v="FK0184"/>
        <s v="FK0185"/>
        <s v="FK0186"/>
        <s v="FK0187"/>
        <s v="FK0188"/>
        <s v="FK0189"/>
        <s v="FK0190"/>
        <s v="FK0191"/>
        <s v="FK0192"/>
        <s v="FK0193"/>
        <s v="FK0194"/>
        <s v="FK0195"/>
        <s v="FK0196"/>
        <s v="FK0197"/>
        <s v="FK0198"/>
        <s v="FK0199"/>
        <s v="FK0200"/>
      </sharedItems>
    </cacheField>
    <cacheField name="Order_Date" numFmtId="14">
      <sharedItems containsSemiMixedTypes="0" containsNonDate="0" containsDate="1" containsString="0" minDate="2025-01-02T00:00:00" maxDate="2026-01-01T00:00:00" count="157">
        <d v="2025-05-06T00:00:00"/>
        <d v="2025-01-17T00:00:00"/>
        <d v="2025-04-12T00:00:00"/>
        <d v="2025-12-24T00:00:00"/>
        <d v="2025-07-14T00:00:00"/>
        <d v="2025-10-02T00:00:00"/>
        <d v="2025-04-09T00:00:00"/>
        <d v="2025-02-21T00:00:00"/>
        <d v="2025-04-18T00:00:00"/>
        <d v="2025-03-25T00:00:00"/>
        <d v="2025-01-29T00:00:00"/>
        <d v="2025-06-11T00:00:00"/>
        <d v="2025-05-07T00:00:00"/>
        <d v="2025-09-18T00:00:00"/>
        <d v="2025-11-02T00:00:00"/>
        <d v="2025-01-06T00:00:00"/>
        <d v="2025-03-22T00:00:00"/>
        <d v="2025-11-24T00:00:00"/>
        <d v="2025-11-03T00:00:00"/>
        <d v="2025-05-04T00:00:00"/>
        <d v="2025-03-07T00:00:00"/>
        <d v="2025-10-04T00:00:00"/>
        <d v="2025-03-03T00:00:00"/>
        <d v="2025-10-29T00:00:00"/>
        <d v="2025-06-19T00:00:00"/>
        <d v="2025-10-20T00:00:00"/>
        <d v="2025-12-04T00:00:00"/>
        <d v="2025-02-01T00:00:00"/>
        <d v="2025-03-13T00:00:00"/>
        <d v="2025-02-20T00:00:00"/>
        <d v="2025-04-20T00:00:00"/>
        <d v="2025-05-27T00:00:00"/>
        <d v="2025-10-05T00:00:00"/>
        <d v="2025-07-26T00:00:00"/>
        <d v="2025-10-17T00:00:00"/>
        <d v="2025-03-09T00:00:00"/>
        <d v="2025-10-16T00:00:00"/>
        <d v="2025-01-05T00:00:00"/>
        <d v="2025-03-21T00:00:00"/>
        <d v="2025-09-16T00:00:00"/>
        <d v="2025-06-20T00:00:00"/>
        <d v="2025-10-15T00:00:00"/>
        <d v="2025-10-26T00:00:00"/>
        <d v="2025-07-03T00:00:00"/>
        <d v="2025-05-02T00:00:00"/>
        <d v="2025-05-17T00:00:00"/>
        <d v="2025-06-29T00:00:00"/>
        <d v="2025-02-05T00:00:00"/>
        <d v="2025-10-23T00:00:00"/>
        <d v="2025-12-18T00:00:00"/>
        <d v="2025-12-06T00:00:00"/>
        <d v="2025-10-11T00:00:00"/>
        <d v="2025-06-04T00:00:00"/>
        <d v="2025-12-02T00:00:00"/>
        <d v="2025-03-17T00:00:00"/>
        <d v="2025-11-19T00:00:00"/>
        <d v="2025-02-24T00:00:00"/>
        <d v="2025-05-08T00:00:00"/>
        <d v="2025-08-15T00:00:00"/>
        <d v="2025-11-23T00:00:00"/>
        <d v="2025-05-01T00:00:00"/>
        <d v="2025-07-16T00:00:00"/>
        <d v="2025-08-27T00:00:00"/>
        <d v="2025-10-22T00:00:00"/>
        <d v="2025-10-07T00:00:00"/>
        <d v="2025-07-19T00:00:00"/>
        <d v="2025-07-21T00:00:00"/>
        <d v="2025-01-26T00:00:00"/>
        <d v="2025-05-23T00:00:00"/>
        <d v="2025-01-27T00:00:00"/>
        <d v="2025-01-11T00:00:00"/>
        <d v="2025-02-08T00:00:00"/>
        <d v="2025-01-22T00:00:00"/>
        <d v="2025-09-08T00:00:00"/>
        <d v="2025-09-25T00:00:00"/>
        <d v="2025-06-22T00:00:00"/>
        <d v="2025-06-24T00:00:00"/>
        <d v="2025-05-31T00:00:00"/>
        <d v="2025-09-29T00:00:00"/>
        <d v="2025-04-29T00:00:00"/>
        <d v="2025-09-05T00:00:00"/>
        <d v="2025-08-14T00:00:00"/>
        <d v="2025-09-09T00:00:00"/>
        <d v="2025-03-02T00:00:00"/>
        <d v="2025-05-16T00:00:00"/>
        <d v="2025-01-02T00:00:00"/>
        <d v="2025-12-26T00:00:00"/>
        <d v="2025-10-06T00:00:00"/>
        <d v="2025-11-01T00:00:00"/>
        <d v="2025-05-20T00:00:00"/>
        <d v="2025-11-06T00:00:00"/>
        <d v="2025-08-12T00:00:00"/>
        <d v="2025-12-10T00:00:00"/>
        <d v="2025-10-09T00:00:00"/>
        <d v="2025-09-21T00:00:00"/>
        <d v="2025-09-13T00:00:00"/>
        <d v="2025-08-13T00:00:00"/>
        <d v="2025-06-09T00:00:00"/>
        <d v="2025-11-28T00:00:00"/>
        <d v="2025-05-05T00:00:00"/>
        <d v="2025-10-28T00:00:00"/>
        <d v="2025-10-10T00:00:00"/>
        <d v="2025-04-30T00:00:00"/>
        <d v="2025-09-11T00:00:00"/>
        <d v="2025-01-08T00:00:00"/>
        <d v="2025-06-23T00:00:00"/>
        <d v="2025-08-11T00:00:00"/>
        <d v="2025-12-16T00:00:00"/>
        <d v="2025-12-08T00:00:00"/>
        <d v="2025-06-26T00:00:00"/>
        <d v="2025-12-25T00:00:00"/>
        <d v="2025-11-07T00:00:00"/>
        <d v="2025-11-14T00:00:00"/>
        <d v="2025-10-24T00:00:00"/>
        <d v="2025-02-28T00:00:00"/>
        <d v="2025-07-22T00:00:00"/>
        <d v="2025-11-09T00:00:00"/>
        <d v="2025-01-24T00:00:00"/>
        <d v="2025-07-18T00:00:00"/>
        <d v="2025-04-08T00:00:00"/>
        <d v="2025-03-31T00:00:00"/>
        <d v="2025-01-09T00:00:00"/>
        <d v="2025-09-01T00:00:00"/>
        <d v="2025-08-07T00:00:00"/>
        <d v="2025-11-08T00:00:00"/>
        <d v="2025-07-15T00:00:00"/>
        <d v="2025-07-24T00:00:00"/>
        <d v="2025-03-08T00:00:00"/>
        <d v="2025-12-03T00:00:00"/>
        <d v="2025-10-21T00:00:00"/>
        <d v="2025-04-21T00:00:00"/>
        <d v="2025-10-18T00:00:00"/>
        <d v="2025-09-20T00:00:00"/>
        <d v="2025-08-09T00:00:00"/>
        <d v="2025-02-06T00:00:00"/>
        <d v="2025-08-08T00:00:00"/>
        <d v="2025-03-29T00:00:00"/>
        <d v="2025-02-09T00:00:00"/>
        <d v="2025-03-16T00:00:00"/>
        <d v="2025-08-26T00:00:00"/>
        <d v="2025-08-29T00:00:00"/>
        <d v="2025-06-08T00:00:00"/>
        <d v="2025-11-11T00:00:00"/>
        <d v="2025-11-30T00:00:00"/>
        <d v="2025-06-25T00:00:00"/>
        <d v="2025-12-14T00:00:00"/>
        <d v="2025-05-26T00:00:00"/>
        <d v="2025-11-26T00:00:00"/>
        <d v="2025-07-05T00:00:00"/>
        <d v="2025-11-13T00:00:00"/>
        <d v="2025-01-23T00:00:00"/>
        <d v="2025-12-31T00:00:00"/>
        <d v="2025-06-13T00:00:00"/>
        <d v="2025-12-28T00:00:00"/>
        <d v="2025-10-08T00:00:00"/>
        <d v="2025-05-03T00:00:00"/>
        <d v="2025-11-20T00:00:00"/>
      </sharedItems>
      <fieldGroup base="1">
        <rangePr groupBy="months" startDate="2025-01-02T00:00:00" endDate="2026-01-01T00:00:00"/>
        <groupItems count="14">
          <s v="&lt;02-01-2025"/>
          <s v="Jan"/>
          <s v="Feb"/>
          <s v="Mar"/>
          <s v="Apr"/>
          <s v="May"/>
          <s v="Jun"/>
          <s v="Jul"/>
          <s v="Aug"/>
          <s v="Sep"/>
          <s v="Oct"/>
          <s v="Nov"/>
          <s v="Dec"/>
          <s v="&gt;01-01-2026"/>
        </groupItems>
      </fieldGroup>
    </cacheField>
    <cacheField name="Customer_ID" numFmtId="0">
      <sharedItems containsSemiMixedTypes="0" containsString="0" containsNumber="1" containsInteger="1" minValue="1001" maxValue="1100"/>
    </cacheField>
    <cacheField name="City" numFmtId="0">
      <sharedItems count="8">
        <s v="Bangalore"/>
        <s v="Madurai"/>
        <s v="Pune"/>
        <s v="Hyderabad"/>
        <s v="Delhi"/>
        <s v="Chennai"/>
        <s v="Kolkata"/>
        <s v="Mumbai"/>
      </sharedItems>
    </cacheField>
    <cacheField name="Product_Name" numFmtId="0">
      <sharedItems count="10">
        <s v="Mobile"/>
        <s v="T-Shirt"/>
        <s v="Backpack"/>
        <s v="Smartwatch"/>
        <s v="Keyboard"/>
        <s v="Monitor"/>
        <s v="Headphones"/>
        <s v="Shoes"/>
        <s v="Camera"/>
        <s v="Laptop"/>
      </sharedItems>
    </cacheField>
    <cacheField name="Category" numFmtId="0">
      <sharedItems count="5">
        <s v="Electronics"/>
        <s v="Fashion"/>
        <s v="Travel"/>
        <s v="Wearables"/>
        <s v="Accessories"/>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925" maxValue="49808"/>
    </cacheField>
    <cacheField name="Discount_%" numFmtId="0">
      <sharedItems containsSemiMixedTypes="0" containsString="0" containsNumber="1" containsInteger="1" minValue="5" maxValue="25"/>
    </cacheField>
    <cacheField name="Sales_Amount" numFmtId="0">
      <sharedItems containsSemiMixedTypes="0" containsString="0" containsNumber="1" minValue="804.8" maxValue="235201" count="200">
        <n v="41733.300000000003"/>
        <n v="31358.400000000001"/>
        <n v="8396.25"/>
        <n v="2497.5"/>
        <n v="20514.3"/>
        <n v="38658.400000000001"/>
        <n v="90750"/>
        <n v="15468.3"/>
        <n v="42092"/>
        <n v="217278"/>
        <n v="77122.2"/>
        <n v="10744.5"/>
        <n v="32146.2"/>
        <n v="40157.1"/>
        <n v="72153.600000000006"/>
        <n v="63660"/>
        <n v="15787.2"/>
        <n v="31760.25"/>
        <n v="167470.75"/>
        <n v="46147.199999999997"/>
        <n v="31869.9"/>
        <n v="127035"/>
        <n v="110140.8"/>
        <n v="165604.5"/>
        <n v="9342.2999999999993"/>
        <n v="64510.2"/>
        <n v="12693.9"/>
        <n v="42397.55"/>
        <n v="57033.599999999999"/>
        <n v="22155.75"/>
        <n v="103443.2"/>
        <n v="57216"/>
        <n v="6498"/>
        <n v="100362"/>
        <n v="40275"/>
        <n v="130743"/>
        <n v="28651.200000000001"/>
        <n v="22900.5"/>
        <n v="44406.8"/>
        <n v="91318.5"/>
        <n v="5635.5"/>
        <n v="77443.5"/>
        <n v="9658.65"/>
        <n v="186984"/>
        <n v="12159.25"/>
        <n v="69531.45"/>
        <n v="148230"/>
        <n v="74201.399999999994"/>
        <n v="21726.400000000001"/>
        <n v="74840.800000000003"/>
        <n v="135096"/>
        <n v="8569.9500000000007"/>
        <n v="32312"/>
        <n v="25929.75"/>
        <n v="105414.45"/>
        <n v="68521.05"/>
        <n v="61257"/>
        <n v="115527"/>
        <n v="141795"/>
        <n v="41099.4"/>
        <n v="24276.799999999999"/>
        <n v="19324.900000000001"/>
        <n v="11373"/>
        <n v="167972.75"/>
        <n v="62949.599999999999"/>
        <n v="40172.699999999997"/>
        <n v="18691.2"/>
        <n v="66552"/>
        <n v="218884.75"/>
        <n v="83880"/>
        <n v="122842.6"/>
        <n v="168644"/>
        <n v="55362.6"/>
        <n v="54283.199999999997"/>
        <n v="37191"/>
        <n v="15034.5"/>
        <n v="33714"/>
        <n v="235201"/>
        <n v="95382"/>
        <n v="31623.75"/>
        <n v="3189.6"/>
        <n v="52272"/>
        <n v="76878.25"/>
        <n v="161992"/>
        <n v="40380.1"/>
        <n v="13053.6"/>
        <n v="6194"/>
        <n v="70908.75"/>
        <n v="52514.7"/>
        <n v="23493.599999999999"/>
        <n v="43470"/>
        <n v="88402.5"/>
        <n v="75028.800000000003"/>
        <n v="3825.6"/>
        <n v="16421.400000000001"/>
        <n v="100347.6"/>
        <n v="74687.399999999994"/>
        <n v="24385.5"/>
        <n v="32947.699999999997"/>
        <n v="53885.9"/>
        <n v="9667.0499999999993"/>
        <n v="111256.8"/>
        <n v="24491.05"/>
        <n v="7900.75"/>
        <n v="27886.5"/>
        <n v="75966.2"/>
        <n v="105415.2"/>
        <n v="19432.8"/>
        <n v="90783.75"/>
        <n v="38615.5"/>
        <n v="84628.800000000003"/>
        <n v="29203.95"/>
        <n v="102787.2"/>
        <n v="222340.5"/>
        <n v="16180.6"/>
        <n v="78601.2"/>
        <n v="60756.800000000003"/>
        <n v="92887.2"/>
        <n v="27974.400000000001"/>
        <n v="26577.8"/>
        <n v="68006.399999999994"/>
        <n v="93936"/>
        <n v="2986.9"/>
        <n v="56496"/>
        <n v="95887.5"/>
        <n v="78075.899999999994"/>
        <n v="8544"/>
        <n v="73076.399999999994"/>
        <n v="97333.5"/>
        <n v="215859"/>
        <n v="40100.400000000001"/>
        <n v="83758.649999999994"/>
        <n v="43236"/>
        <n v="67462.8"/>
        <n v="116237.25"/>
        <n v="93141.6"/>
        <n v="158491"/>
        <n v="29325.599999999999"/>
        <n v="64310.400000000001"/>
        <n v="164996"/>
        <n v="47291.199999999997"/>
        <n v="22603.200000000001"/>
        <n v="9020.25"/>
        <n v="70072.2"/>
        <n v="61035.1"/>
        <n v="66454.7"/>
        <n v="37753"/>
        <n v="77540.899999999994"/>
        <n v="25512"/>
        <n v="4924.8999999999996"/>
        <n v="154857.25"/>
        <n v="26596.2"/>
        <n v="72678.399999999994"/>
        <n v="67581"/>
        <n v="23215.200000000001"/>
        <n v="75753.600000000006"/>
        <n v="64989"/>
        <n v="20473.95"/>
        <n v="10474.549999999999"/>
        <n v="14832"/>
        <n v="37047.75"/>
        <n v="53353.65"/>
        <n v="17864.75"/>
        <n v="66247.199999999997"/>
        <n v="121466.25"/>
        <n v="902.7"/>
        <n v="804.8"/>
        <n v="157743"/>
        <n v="15762"/>
        <n v="6344.4"/>
        <n v="13156"/>
        <n v="40188.6"/>
        <n v="30369.599999999999"/>
        <n v="9687.2000000000007"/>
        <n v="55708"/>
        <n v="96181.8"/>
        <n v="15754.8"/>
        <n v="22479.75"/>
        <n v="28523.75"/>
        <n v="87891"/>
        <n v="92782.6"/>
        <n v="29652.799999999999"/>
        <n v="39822.5"/>
        <n v="89109.6"/>
        <n v="115007"/>
        <n v="27622.799999999999"/>
        <n v="12635.25"/>
        <n v="45392"/>
        <n v="119539.2"/>
        <n v="101144.25"/>
        <n v="40032"/>
        <n v="104999.7"/>
        <n v="67378.5"/>
        <n v="26305.5"/>
        <n v="43362.75"/>
        <n v="84947.4"/>
        <n v="39509.1"/>
        <n v="24182.25"/>
        <n v="169242.5"/>
        <n v="34673.199999999997"/>
      </sharedItems>
    </cacheField>
    <cacheField name="Payment_Mode" numFmtId="0">
      <sharedItems count="4">
        <s v="UPI"/>
        <s v="Card"/>
        <s v="COD"/>
        <s v="Net Banking"/>
      </sharedItems>
    </cacheField>
    <cacheField name="Delivery_Status" numFmtId="0">
      <sharedItems count="3">
        <s v="Cancelled"/>
        <s v="Delivered"/>
        <s v="Pending"/>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
  <r>
    <x v="0"/>
    <x v="0"/>
    <n v="1029"/>
    <x v="0"/>
    <x v="0"/>
    <x v="0"/>
    <n v="1"/>
    <n v="49098"/>
    <n v="15"/>
    <x v="0"/>
    <x v="0"/>
    <x v="0"/>
  </r>
  <r>
    <x v="1"/>
    <x v="1"/>
    <n v="1004"/>
    <x v="1"/>
    <x v="1"/>
    <x v="1"/>
    <n v="1"/>
    <n v="39198"/>
    <n v="20"/>
    <x v="1"/>
    <x v="1"/>
    <x v="1"/>
  </r>
  <r>
    <x v="2"/>
    <x v="2"/>
    <n v="1092"/>
    <x v="2"/>
    <x v="1"/>
    <x v="1"/>
    <n v="5"/>
    <n v="2239"/>
    <n v="25"/>
    <x v="2"/>
    <x v="1"/>
    <x v="2"/>
  </r>
  <r>
    <x v="3"/>
    <x v="3"/>
    <n v="1055"/>
    <x v="3"/>
    <x v="2"/>
    <x v="2"/>
    <n v="3"/>
    <n v="925"/>
    <n v="10"/>
    <x v="3"/>
    <x v="2"/>
    <x v="1"/>
  </r>
  <r>
    <x v="4"/>
    <x v="4"/>
    <n v="1013"/>
    <x v="3"/>
    <x v="3"/>
    <x v="3"/>
    <n v="3"/>
    <n v="7198"/>
    <n v="5"/>
    <x v="4"/>
    <x v="2"/>
    <x v="0"/>
  </r>
  <r>
    <x v="5"/>
    <x v="5"/>
    <n v="1016"/>
    <x v="2"/>
    <x v="4"/>
    <x v="4"/>
    <n v="1"/>
    <n v="48323"/>
    <n v="20"/>
    <x v="5"/>
    <x v="0"/>
    <x v="0"/>
  </r>
  <r>
    <x v="6"/>
    <x v="6"/>
    <n v="1091"/>
    <x v="1"/>
    <x v="4"/>
    <x v="4"/>
    <n v="5"/>
    <n v="24200"/>
    <n v="25"/>
    <x v="6"/>
    <x v="0"/>
    <x v="0"/>
  </r>
  <r>
    <x v="7"/>
    <x v="7"/>
    <n v="1049"/>
    <x v="4"/>
    <x v="3"/>
    <x v="3"/>
    <n v="3"/>
    <n v="5729"/>
    <n v="10"/>
    <x v="7"/>
    <x v="3"/>
    <x v="0"/>
  </r>
  <r>
    <x v="8"/>
    <x v="8"/>
    <n v="1086"/>
    <x v="4"/>
    <x v="5"/>
    <x v="0"/>
    <n v="2"/>
    <n v="24760"/>
    <n v="15"/>
    <x v="8"/>
    <x v="0"/>
    <x v="0"/>
  </r>
  <r>
    <x v="9"/>
    <x v="9"/>
    <n v="1060"/>
    <x v="2"/>
    <x v="6"/>
    <x v="4"/>
    <n v="5"/>
    <n v="48284"/>
    <n v="10"/>
    <x v="9"/>
    <x v="2"/>
    <x v="0"/>
  </r>
  <r>
    <x v="10"/>
    <x v="10"/>
    <n v="1030"/>
    <x v="5"/>
    <x v="1"/>
    <x v="1"/>
    <n v="2"/>
    <n v="45366"/>
    <n v="15"/>
    <x v="10"/>
    <x v="2"/>
    <x v="2"/>
  </r>
  <r>
    <x v="11"/>
    <x v="11"/>
    <n v="1028"/>
    <x v="6"/>
    <x v="4"/>
    <x v="4"/>
    <n v="1"/>
    <n v="14326"/>
    <n v="25"/>
    <x v="11"/>
    <x v="3"/>
    <x v="0"/>
  </r>
  <r>
    <x v="12"/>
    <x v="12"/>
    <n v="1096"/>
    <x v="4"/>
    <x v="7"/>
    <x v="1"/>
    <n v="2"/>
    <n v="17859"/>
    <n v="10"/>
    <x v="12"/>
    <x v="3"/>
    <x v="0"/>
  </r>
  <r>
    <x v="13"/>
    <x v="13"/>
    <n v="1064"/>
    <x v="1"/>
    <x v="8"/>
    <x v="0"/>
    <n v="3"/>
    <n v="14873"/>
    <n v="10"/>
    <x v="13"/>
    <x v="0"/>
    <x v="1"/>
  </r>
  <r>
    <x v="14"/>
    <x v="14"/>
    <n v="1009"/>
    <x v="2"/>
    <x v="6"/>
    <x v="4"/>
    <n v="2"/>
    <n v="45096"/>
    <n v="20"/>
    <x v="14"/>
    <x v="3"/>
    <x v="0"/>
  </r>
  <r>
    <x v="15"/>
    <x v="15"/>
    <n v="1088"/>
    <x v="1"/>
    <x v="7"/>
    <x v="1"/>
    <n v="5"/>
    <n v="16976"/>
    <n v="25"/>
    <x v="15"/>
    <x v="2"/>
    <x v="0"/>
  </r>
  <r>
    <x v="16"/>
    <x v="16"/>
    <n v="1059"/>
    <x v="5"/>
    <x v="5"/>
    <x v="0"/>
    <n v="1"/>
    <n v="19734"/>
    <n v="20"/>
    <x v="16"/>
    <x v="2"/>
    <x v="0"/>
  </r>
  <r>
    <x v="17"/>
    <x v="17"/>
    <n v="1065"/>
    <x v="7"/>
    <x v="6"/>
    <x v="4"/>
    <n v="5"/>
    <n v="7473"/>
    <n v="15"/>
    <x v="17"/>
    <x v="1"/>
    <x v="2"/>
  </r>
  <r>
    <x v="18"/>
    <x v="18"/>
    <n v="1042"/>
    <x v="6"/>
    <x v="6"/>
    <x v="4"/>
    <n v="5"/>
    <n v="35257"/>
    <n v="5"/>
    <x v="18"/>
    <x v="0"/>
    <x v="1"/>
  </r>
  <r>
    <x v="19"/>
    <x v="19"/>
    <n v="1073"/>
    <x v="1"/>
    <x v="5"/>
    <x v="0"/>
    <n v="3"/>
    <n v="16192"/>
    <n v="5"/>
    <x v="19"/>
    <x v="0"/>
    <x v="0"/>
  </r>
  <r>
    <x v="20"/>
    <x v="20"/>
    <n v="1085"/>
    <x v="6"/>
    <x v="7"/>
    <x v="1"/>
    <n v="1"/>
    <n v="35411"/>
    <n v="10"/>
    <x v="20"/>
    <x v="1"/>
    <x v="2"/>
  </r>
  <r>
    <x v="21"/>
    <x v="21"/>
    <n v="1097"/>
    <x v="7"/>
    <x v="1"/>
    <x v="1"/>
    <n v="5"/>
    <n v="28230"/>
    <n v="10"/>
    <x v="21"/>
    <x v="2"/>
    <x v="2"/>
  </r>
  <r>
    <x v="22"/>
    <x v="22"/>
    <n v="1032"/>
    <x v="7"/>
    <x v="5"/>
    <x v="0"/>
    <n v="4"/>
    <n v="34419"/>
    <n v="20"/>
    <x v="22"/>
    <x v="0"/>
    <x v="2"/>
  </r>
  <r>
    <x v="23"/>
    <x v="23"/>
    <n v="1029"/>
    <x v="5"/>
    <x v="9"/>
    <x v="0"/>
    <n v="5"/>
    <n v="36801"/>
    <n v="10"/>
    <x v="23"/>
    <x v="0"/>
    <x v="0"/>
  </r>
  <r>
    <x v="24"/>
    <x v="24"/>
    <n v="1010"/>
    <x v="7"/>
    <x v="9"/>
    <x v="0"/>
    <n v="2"/>
    <n v="4917"/>
    <n v="5"/>
    <x v="24"/>
    <x v="2"/>
    <x v="0"/>
  </r>
  <r>
    <x v="25"/>
    <x v="25"/>
    <n v="1074"/>
    <x v="6"/>
    <x v="7"/>
    <x v="1"/>
    <n v="2"/>
    <n v="35839"/>
    <n v="10"/>
    <x v="25"/>
    <x v="1"/>
    <x v="2"/>
  </r>
  <r>
    <x v="26"/>
    <x v="26"/>
    <n v="1056"/>
    <x v="3"/>
    <x v="8"/>
    <x v="0"/>
    <n v="2"/>
    <n v="6681"/>
    <n v="5"/>
    <x v="26"/>
    <x v="3"/>
    <x v="2"/>
  </r>
  <r>
    <x v="27"/>
    <x v="27"/>
    <n v="1052"/>
    <x v="3"/>
    <x v="7"/>
    <x v="1"/>
    <n v="1"/>
    <n v="44629"/>
    <n v="5"/>
    <x v="27"/>
    <x v="0"/>
    <x v="1"/>
  </r>
  <r>
    <x v="28"/>
    <x v="28"/>
    <n v="1055"/>
    <x v="0"/>
    <x v="3"/>
    <x v="3"/>
    <n v="2"/>
    <n v="35646"/>
    <n v="20"/>
    <x v="28"/>
    <x v="2"/>
    <x v="2"/>
  </r>
  <r>
    <x v="29"/>
    <x v="29"/>
    <n v="1007"/>
    <x v="5"/>
    <x v="3"/>
    <x v="3"/>
    <n v="1"/>
    <n v="29541"/>
    <n v="25"/>
    <x v="29"/>
    <x v="0"/>
    <x v="1"/>
  </r>
  <r>
    <x v="30"/>
    <x v="30"/>
    <n v="1052"/>
    <x v="5"/>
    <x v="6"/>
    <x v="4"/>
    <n v="4"/>
    <n v="32326"/>
    <n v="20"/>
    <x v="30"/>
    <x v="1"/>
    <x v="2"/>
  </r>
  <r>
    <x v="31"/>
    <x v="31"/>
    <n v="1055"/>
    <x v="6"/>
    <x v="9"/>
    <x v="0"/>
    <n v="4"/>
    <n v="17880"/>
    <n v="20"/>
    <x v="31"/>
    <x v="1"/>
    <x v="1"/>
  </r>
  <r>
    <x v="32"/>
    <x v="32"/>
    <n v="1008"/>
    <x v="3"/>
    <x v="4"/>
    <x v="4"/>
    <n v="2"/>
    <n v="4332"/>
    <n v="25"/>
    <x v="32"/>
    <x v="0"/>
    <x v="1"/>
  </r>
  <r>
    <x v="33"/>
    <x v="16"/>
    <n v="1008"/>
    <x v="1"/>
    <x v="2"/>
    <x v="2"/>
    <n v="4"/>
    <n v="33454"/>
    <n v="25"/>
    <x v="33"/>
    <x v="1"/>
    <x v="1"/>
  </r>
  <r>
    <x v="34"/>
    <x v="33"/>
    <n v="1016"/>
    <x v="7"/>
    <x v="2"/>
    <x v="2"/>
    <n v="1"/>
    <n v="44750"/>
    <n v="10"/>
    <x v="34"/>
    <x v="0"/>
    <x v="0"/>
  </r>
  <r>
    <x v="35"/>
    <x v="34"/>
    <n v="1067"/>
    <x v="3"/>
    <x v="0"/>
    <x v="0"/>
    <n v="4"/>
    <n v="43581"/>
    <n v="25"/>
    <x v="35"/>
    <x v="2"/>
    <x v="1"/>
  </r>
  <r>
    <x v="36"/>
    <x v="35"/>
    <n v="1086"/>
    <x v="4"/>
    <x v="5"/>
    <x v="0"/>
    <n v="2"/>
    <n v="17907"/>
    <n v="20"/>
    <x v="36"/>
    <x v="3"/>
    <x v="2"/>
  </r>
  <r>
    <x v="37"/>
    <x v="36"/>
    <n v="1013"/>
    <x v="1"/>
    <x v="0"/>
    <x v="0"/>
    <n v="1"/>
    <n v="30534"/>
    <n v="25"/>
    <x v="37"/>
    <x v="1"/>
    <x v="0"/>
  </r>
  <r>
    <x v="38"/>
    <x v="0"/>
    <n v="1048"/>
    <x v="4"/>
    <x v="4"/>
    <x v="4"/>
    <n v="2"/>
    <n v="23372"/>
    <n v="5"/>
    <x v="38"/>
    <x v="1"/>
    <x v="2"/>
  </r>
  <r>
    <x v="39"/>
    <x v="37"/>
    <n v="1086"/>
    <x v="4"/>
    <x v="1"/>
    <x v="1"/>
    <n v="3"/>
    <n v="40586"/>
    <n v="25"/>
    <x v="39"/>
    <x v="0"/>
    <x v="1"/>
  </r>
  <r>
    <x v="40"/>
    <x v="38"/>
    <n v="1035"/>
    <x v="4"/>
    <x v="4"/>
    <x v="4"/>
    <n v="1"/>
    <n v="7514"/>
    <n v="25"/>
    <x v="40"/>
    <x v="1"/>
    <x v="0"/>
  </r>
  <r>
    <x v="41"/>
    <x v="39"/>
    <n v="1063"/>
    <x v="4"/>
    <x v="5"/>
    <x v="0"/>
    <n v="2"/>
    <n v="45555"/>
    <n v="15"/>
    <x v="41"/>
    <x v="0"/>
    <x v="1"/>
  </r>
  <r>
    <x v="42"/>
    <x v="40"/>
    <n v="1099"/>
    <x v="0"/>
    <x v="8"/>
    <x v="0"/>
    <n v="3"/>
    <n v="3389"/>
    <n v="5"/>
    <x v="42"/>
    <x v="2"/>
    <x v="1"/>
  </r>
  <r>
    <x v="43"/>
    <x v="41"/>
    <n v="1002"/>
    <x v="1"/>
    <x v="7"/>
    <x v="1"/>
    <n v="5"/>
    <n v="46746"/>
    <n v="20"/>
    <x v="43"/>
    <x v="0"/>
    <x v="0"/>
  </r>
  <r>
    <x v="44"/>
    <x v="42"/>
    <n v="1071"/>
    <x v="0"/>
    <x v="6"/>
    <x v="4"/>
    <n v="5"/>
    <n v="2861"/>
    <n v="15"/>
    <x v="44"/>
    <x v="3"/>
    <x v="1"/>
  </r>
  <r>
    <x v="45"/>
    <x v="43"/>
    <n v="1027"/>
    <x v="7"/>
    <x v="9"/>
    <x v="0"/>
    <n v="3"/>
    <n v="24397"/>
    <n v="5"/>
    <x v="45"/>
    <x v="0"/>
    <x v="2"/>
  </r>
  <r>
    <x v="46"/>
    <x v="44"/>
    <n v="1021"/>
    <x v="0"/>
    <x v="1"/>
    <x v="1"/>
    <n v="4"/>
    <n v="41175"/>
    <n v="10"/>
    <x v="46"/>
    <x v="3"/>
    <x v="1"/>
  </r>
  <r>
    <x v="47"/>
    <x v="45"/>
    <n v="1021"/>
    <x v="1"/>
    <x v="6"/>
    <x v="4"/>
    <n v="3"/>
    <n v="27482"/>
    <n v="10"/>
    <x v="47"/>
    <x v="3"/>
    <x v="1"/>
  </r>
  <r>
    <x v="48"/>
    <x v="46"/>
    <n v="1040"/>
    <x v="7"/>
    <x v="7"/>
    <x v="1"/>
    <n v="2"/>
    <n v="13579"/>
    <n v="20"/>
    <x v="48"/>
    <x v="1"/>
    <x v="1"/>
  </r>
  <r>
    <x v="49"/>
    <x v="47"/>
    <n v="1099"/>
    <x v="4"/>
    <x v="3"/>
    <x v="3"/>
    <n v="4"/>
    <n v="22012"/>
    <n v="15"/>
    <x v="49"/>
    <x v="2"/>
    <x v="0"/>
  </r>
  <r>
    <x v="50"/>
    <x v="24"/>
    <n v="1004"/>
    <x v="1"/>
    <x v="1"/>
    <x v="1"/>
    <n v="4"/>
    <n v="45032"/>
    <n v="25"/>
    <x v="50"/>
    <x v="2"/>
    <x v="1"/>
  </r>
  <r>
    <x v="51"/>
    <x v="14"/>
    <n v="1056"/>
    <x v="3"/>
    <x v="2"/>
    <x v="2"/>
    <n v="3"/>
    <n v="3007"/>
    <n v="5"/>
    <x v="51"/>
    <x v="2"/>
    <x v="2"/>
  </r>
  <r>
    <x v="52"/>
    <x v="48"/>
    <n v="1025"/>
    <x v="4"/>
    <x v="2"/>
    <x v="2"/>
    <n v="5"/>
    <n v="8078"/>
    <n v="20"/>
    <x v="52"/>
    <x v="0"/>
    <x v="0"/>
  </r>
  <r>
    <x v="53"/>
    <x v="49"/>
    <n v="1093"/>
    <x v="7"/>
    <x v="8"/>
    <x v="0"/>
    <n v="1"/>
    <n v="34573"/>
    <n v="25"/>
    <x v="53"/>
    <x v="2"/>
    <x v="2"/>
  </r>
  <r>
    <x v="54"/>
    <x v="50"/>
    <n v="1016"/>
    <x v="4"/>
    <x v="0"/>
    <x v="0"/>
    <n v="3"/>
    <n v="41339"/>
    <n v="15"/>
    <x v="54"/>
    <x v="2"/>
    <x v="0"/>
  </r>
  <r>
    <x v="55"/>
    <x v="51"/>
    <n v="1017"/>
    <x v="7"/>
    <x v="8"/>
    <x v="0"/>
    <n v="3"/>
    <n v="26871"/>
    <n v="15"/>
    <x v="55"/>
    <x v="3"/>
    <x v="0"/>
  </r>
  <r>
    <x v="56"/>
    <x v="52"/>
    <n v="1052"/>
    <x v="5"/>
    <x v="8"/>
    <x v="0"/>
    <n v="2"/>
    <n v="40838"/>
    <n v="25"/>
    <x v="56"/>
    <x v="2"/>
    <x v="2"/>
  </r>
  <r>
    <x v="57"/>
    <x v="53"/>
    <n v="1042"/>
    <x v="6"/>
    <x v="3"/>
    <x v="3"/>
    <n v="4"/>
    <n v="38509"/>
    <n v="25"/>
    <x v="57"/>
    <x v="3"/>
    <x v="2"/>
  </r>
  <r>
    <x v="58"/>
    <x v="26"/>
    <n v="1011"/>
    <x v="4"/>
    <x v="3"/>
    <x v="3"/>
    <n v="5"/>
    <n v="31510"/>
    <n v="10"/>
    <x v="58"/>
    <x v="2"/>
    <x v="1"/>
  </r>
  <r>
    <x v="59"/>
    <x v="54"/>
    <n v="1004"/>
    <x v="5"/>
    <x v="3"/>
    <x v="3"/>
    <n v="3"/>
    <n v="15222"/>
    <n v="10"/>
    <x v="59"/>
    <x v="1"/>
    <x v="2"/>
  </r>
  <r>
    <x v="60"/>
    <x v="55"/>
    <n v="1074"/>
    <x v="7"/>
    <x v="2"/>
    <x v="2"/>
    <n v="1"/>
    <n v="30346"/>
    <n v="20"/>
    <x v="60"/>
    <x v="3"/>
    <x v="2"/>
  </r>
  <r>
    <x v="61"/>
    <x v="56"/>
    <n v="1100"/>
    <x v="2"/>
    <x v="8"/>
    <x v="0"/>
    <n v="2"/>
    <n v="10171"/>
    <n v="5"/>
    <x v="61"/>
    <x v="1"/>
    <x v="1"/>
  </r>
  <r>
    <x v="62"/>
    <x v="57"/>
    <n v="1016"/>
    <x v="6"/>
    <x v="1"/>
    <x v="1"/>
    <n v="4"/>
    <n v="3791"/>
    <n v="25"/>
    <x v="62"/>
    <x v="1"/>
    <x v="2"/>
  </r>
  <r>
    <x v="63"/>
    <x v="58"/>
    <n v="1079"/>
    <x v="2"/>
    <x v="1"/>
    <x v="1"/>
    <n v="5"/>
    <n v="39523"/>
    <n v="15"/>
    <x v="63"/>
    <x v="3"/>
    <x v="1"/>
  </r>
  <r>
    <x v="64"/>
    <x v="59"/>
    <n v="1036"/>
    <x v="6"/>
    <x v="7"/>
    <x v="1"/>
    <n v="4"/>
    <n v="17486"/>
    <n v="10"/>
    <x v="64"/>
    <x v="1"/>
    <x v="2"/>
  </r>
  <r>
    <x v="65"/>
    <x v="60"/>
    <n v="1035"/>
    <x v="3"/>
    <x v="7"/>
    <x v="1"/>
    <n v="1"/>
    <n v="47262"/>
    <n v="15"/>
    <x v="65"/>
    <x v="2"/>
    <x v="0"/>
  </r>
  <r>
    <x v="66"/>
    <x v="61"/>
    <n v="1089"/>
    <x v="0"/>
    <x v="0"/>
    <x v="0"/>
    <n v="2"/>
    <n v="10384"/>
    <n v="10"/>
    <x v="66"/>
    <x v="1"/>
    <x v="1"/>
  </r>
  <r>
    <x v="67"/>
    <x v="62"/>
    <n v="1054"/>
    <x v="5"/>
    <x v="8"/>
    <x v="0"/>
    <n v="4"/>
    <n v="22184"/>
    <n v="25"/>
    <x v="67"/>
    <x v="1"/>
    <x v="2"/>
  </r>
  <r>
    <x v="68"/>
    <x v="63"/>
    <n v="1049"/>
    <x v="6"/>
    <x v="8"/>
    <x v="0"/>
    <n v="5"/>
    <n v="46081"/>
    <n v="5"/>
    <x v="68"/>
    <x v="0"/>
    <x v="2"/>
  </r>
  <r>
    <x v="69"/>
    <x v="64"/>
    <n v="1078"/>
    <x v="7"/>
    <x v="4"/>
    <x v="4"/>
    <n v="4"/>
    <n v="27960"/>
    <n v="25"/>
    <x v="69"/>
    <x v="3"/>
    <x v="1"/>
  </r>
  <r>
    <x v="70"/>
    <x v="65"/>
    <n v="1044"/>
    <x v="2"/>
    <x v="4"/>
    <x v="4"/>
    <n v="4"/>
    <n v="32327"/>
    <n v="5"/>
    <x v="70"/>
    <x v="1"/>
    <x v="2"/>
  </r>
  <r>
    <x v="71"/>
    <x v="66"/>
    <n v="1076"/>
    <x v="5"/>
    <x v="6"/>
    <x v="4"/>
    <n v="5"/>
    <n v="35504"/>
    <n v="5"/>
    <x v="71"/>
    <x v="0"/>
    <x v="0"/>
  </r>
  <r>
    <x v="72"/>
    <x v="67"/>
    <n v="1034"/>
    <x v="2"/>
    <x v="8"/>
    <x v="0"/>
    <n v="2"/>
    <n v="30757"/>
    <n v="10"/>
    <x v="72"/>
    <x v="2"/>
    <x v="1"/>
  </r>
  <r>
    <x v="73"/>
    <x v="68"/>
    <n v="1097"/>
    <x v="2"/>
    <x v="7"/>
    <x v="1"/>
    <n v="3"/>
    <n v="22618"/>
    <n v="20"/>
    <x v="73"/>
    <x v="2"/>
    <x v="1"/>
  </r>
  <r>
    <x v="74"/>
    <x v="69"/>
    <n v="1045"/>
    <x v="7"/>
    <x v="7"/>
    <x v="1"/>
    <n v="1"/>
    <n v="49588"/>
    <n v="25"/>
    <x v="74"/>
    <x v="0"/>
    <x v="0"/>
  </r>
  <r>
    <x v="75"/>
    <x v="70"/>
    <n v="1080"/>
    <x v="0"/>
    <x v="9"/>
    <x v="0"/>
    <n v="1"/>
    <n v="16705"/>
    <n v="10"/>
    <x v="75"/>
    <x v="1"/>
    <x v="1"/>
  </r>
  <r>
    <x v="76"/>
    <x v="62"/>
    <n v="1090"/>
    <x v="4"/>
    <x v="7"/>
    <x v="1"/>
    <n v="1"/>
    <n v="37460"/>
    <n v="10"/>
    <x v="76"/>
    <x v="2"/>
    <x v="1"/>
  </r>
  <r>
    <x v="77"/>
    <x v="9"/>
    <n v="1040"/>
    <x v="1"/>
    <x v="2"/>
    <x v="2"/>
    <n v="5"/>
    <n v="49516"/>
    <n v="5"/>
    <x v="77"/>
    <x v="0"/>
    <x v="2"/>
  </r>
  <r>
    <x v="78"/>
    <x v="71"/>
    <n v="1076"/>
    <x v="7"/>
    <x v="2"/>
    <x v="2"/>
    <n v="4"/>
    <n v="26495"/>
    <n v="10"/>
    <x v="78"/>
    <x v="0"/>
    <x v="0"/>
  </r>
  <r>
    <x v="79"/>
    <x v="72"/>
    <n v="1045"/>
    <x v="2"/>
    <x v="4"/>
    <x v="4"/>
    <n v="5"/>
    <n v="8433"/>
    <n v="25"/>
    <x v="79"/>
    <x v="2"/>
    <x v="1"/>
  </r>
  <r>
    <x v="80"/>
    <x v="73"/>
    <n v="1014"/>
    <x v="2"/>
    <x v="1"/>
    <x v="1"/>
    <n v="3"/>
    <n v="1329"/>
    <n v="20"/>
    <x v="80"/>
    <x v="2"/>
    <x v="0"/>
  </r>
  <r>
    <x v="81"/>
    <x v="74"/>
    <n v="1084"/>
    <x v="4"/>
    <x v="7"/>
    <x v="1"/>
    <n v="2"/>
    <n v="29040"/>
    <n v="10"/>
    <x v="81"/>
    <x v="3"/>
    <x v="2"/>
  </r>
  <r>
    <x v="82"/>
    <x v="0"/>
    <n v="1012"/>
    <x v="4"/>
    <x v="8"/>
    <x v="0"/>
    <n v="5"/>
    <n v="18089"/>
    <n v="15"/>
    <x v="82"/>
    <x v="3"/>
    <x v="1"/>
  </r>
  <r>
    <x v="83"/>
    <x v="75"/>
    <n v="1004"/>
    <x v="6"/>
    <x v="7"/>
    <x v="1"/>
    <n v="5"/>
    <n v="40498"/>
    <n v="20"/>
    <x v="83"/>
    <x v="2"/>
    <x v="1"/>
  </r>
  <r>
    <x v="84"/>
    <x v="76"/>
    <n v="1036"/>
    <x v="4"/>
    <x v="7"/>
    <x v="1"/>
    <n v="2"/>
    <n v="23753"/>
    <n v="15"/>
    <x v="84"/>
    <x v="0"/>
    <x v="0"/>
  </r>
  <r>
    <x v="85"/>
    <x v="73"/>
    <n v="1072"/>
    <x v="7"/>
    <x v="3"/>
    <x v="3"/>
    <n v="1"/>
    <n v="16317"/>
    <n v="20"/>
    <x v="85"/>
    <x v="3"/>
    <x v="0"/>
  </r>
  <r>
    <x v="86"/>
    <x v="77"/>
    <n v="1029"/>
    <x v="2"/>
    <x v="7"/>
    <x v="1"/>
    <n v="4"/>
    <n v="1630"/>
    <n v="5"/>
    <x v="86"/>
    <x v="1"/>
    <x v="2"/>
  </r>
  <r>
    <x v="87"/>
    <x v="78"/>
    <n v="1045"/>
    <x v="2"/>
    <x v="2"/>
    <x v="2"/>
    <n v="3"/>
    <n v="31515"/>
    <n v="25"/>
    <x v="87"/>
    <x v="2"/>
    <x v="2"/>
  </r>
  <r>
    <x v="88"/>
    <x v="79"/>
    <n v="1016"/>
    <x v="7"/>
    <x v="7"/>
    <x v="1"/>
    <n v="3"/>
    <n v="20594"/>
    <n v="15"/>
    <x v="88"/>
    <x v="2"/>
    <x v="1"/>
  </r>
  <r>
    <x v="89"/>
    <x v="80"/>
    <n v="1036"/>
    <x v="4"/>
    <x v="1"/>
    <x v="1"/>
    <n v="2"/>
    <n v="13052"/>
    <n v="10"/>
    <x v="89"/>
    <x v="0"/>
    <x v="1"/>
  </r>
  <r>
    <x v="90"/>
    <x v="52"/>
    <n v="1002"/>
    <x v="0"/>
    <x v="4"/>
    <x v="4"/>
    <n v="2"/>
    <n v="24150"/>
    <n v="10"/>
    <x v="90"/>
    <x v="2"/>
    <x v="1"/>
  </r>
  <r>
    <x v="91"/>
    <x v="59"/>
    <n v="1097"/>
    <x v="6"/>
    <x v="9"/>
    <x v="0"/>
    <n v="5"/>
    <n v="19645"/>
    <n v="10"/>
    <x v="91"/>
    <x v="0"/>
    <x v="1"/>
  </r>
  <r>
    <x v="92"/>
    <x v="81"/>
    <n v="1044"/>
    <x v="0"/>
    <x v="2"/>
    <x v="2"/>
    <n v="3"/>
    <n v="31262"/>
    <n v="20"/>
    <x v="92"/>
    <x v="0"/>
    <x v="2"/>
  </r>
  <r>
    <x v="93"/>
    <x v="82"/>
    <n v="1010"/>
    <x v="5"/>
    <x v="7"/>
    <x v="1"/>
    <n v="1"/>
    <n v="4782"/>
    <n v="20"/>
    <x v="93"/>
    <x v="1"/>
    <x v="1"/>
  </r>
  <r>
    <x v="94"/>
    <x v="83"/>
    <n v="1072"/>
    <x v="2"/>
    <x v="2"/>
    <x v="2"/>
    <n v="3"/>
    <n v="6082"/>
    <n v="10"/>
    <x v="94"/>
    <x v="1"/>
    <x v="0"/>
  </r>
  <r>
    <x v="95"/>
    <x v="23"/>
    <n v="1055"/>
    <x v="4"/>
    <x v="8"/>
    <x v="0"/>
    <n v="4"/>
    <n v="29514"/>
    <n v="15"/>
    <x v="95"/>
    <x v="0"/>
    <x v="0"/>
  </r>
  <r>
    <x v="96"/>
    <x v="84"/>
    <n v="1085"/>
    <x v="1"/>
    <x v="0"/>
    <x v="0"/>
    <n v="2"/>
    <n v="41493"/>
    <n v="10"/>
    <x v="96"/>
    <x v="1"/>
    <x v="1"/>
  </r>
  <r>
    <x v="97"/>
    <x v="85"/>
    <n v="1053"/>
    <x v="6"/>
    <x v="6"/>
    <x v="4"/>
    <n v="5"/>
    <n v="5419"/>
    <n v="10"/>
    <x v="97"/>
    <x v="3"/>
    <x v="2"/>
  </r>
  <r>
    <x v="98"/>
    <x v="86"/>
    <n v="1059"/>
    <x v="1"/>
    <x v="9"/>
    <x v="0"/>
    <n v="2"/>
    <n v="19381"/>
    <n v="15"/>
    <x v="98"/>
    <x v="1"/>
    <x v="2"/>
  </r>
  <r>
    <x v="99"/>
    <x v="87"/>
    <n v="1029"/>
    <x v="0"/>
    <x v="2"/>
    <x v="2"/>
    <n v="2"/>
    <n v="28361"/>
    <n v="5"/>
    <x v="99"/>
    <x v="2"/>
    <x v="1"/>
  </r>
  <r>
    <x v="100"/>
    <x v="88"/>
    <n v="1096"/>
    <x v="4"/>
    <x v="0"/>
    <x v="0"/>
    <n v="1"/>
    <n v="11373"/>
    <n v="15"/>
    <x v="100"/>
    <x v="3"/>
    <x v="1"/>
  </r>
  <r>
    <x v="101"/>
    <x v="89"/>
    <n v="1065"/>
    <x v="6"/>
    <x v="7"/>
    <x v="1"/>
    <n v="3"/>
    <n v="46357"/>
    <n v="20"/>
    <x v="101"/>
    <x v="3"/>
    <x v="1"/>
  </r>
  <r>
    <x v="102"/>
    <x v="90"/>
    <n v="1033"/>
    <x v="5"/>
    <x v="2"/>
    <x v="2"/>
    <n v="1"/>
    <n v="28813"/>
    <n v="15"/>
    <x v="102"/>
    <x v="0"/>
    <x v="1"/>
  </r>
  <r>
    <x v="103"/>
    <x v="48"/>
    <n v="1006"/>
    <x v="0"/>
    <x v="2"/>
    <x v="2"/>
    <n v="5"/>
    <n v="1859"/>
    <n v="15"/>
    <x v="103"/>
    <x v="3"/>
    <x v="0"/>
  </r>
  <r>
    <x v="104"/>
    <x v="91"/>
    <n v="1082"/>
    <x v="6"/>
    <x v="7"/>
    <x v="1"/>
    <n v="3"/>
    <n v="12394"/>
    <n v="25"/>
    <x v="104"/>
    <x v="0"/>
    <x v="2"/>
  </r>
  <r>
    <x v="105"/>
    <x v="92"/>
    <n v="1014"/>
    <x v="0"/>
    <x v="5"/>
    <x v="0"/>
    <n v="4"/>
    <n v="22343"/>
    <n v="15"/>
    <x v="105"/>
    <x v="2"/>
    <x v="2"/>
  </r>
  <r>
    <x v="106"/>
    <x v="93"/>
    <n v="1005"/>
    <x v="6"/>
    <x v="7"/>
    <x v="1"/>
    <n v="3"/>
    <n v="43923"/>
    <n v="20"/>
    <x v="106"/>
    <x v="0"/>
    <x v="2"/>
  </r>
  <r>
    <x v="107"/>
    <x v="94"/>
    <n v="1001"/>
    <x v="6"/>
    <x v="4"/>
    <x v="4"/>
    <n v="3"/>
    <n v="8097"/>
    <n v="20"/>
    <x v="107"/>
    <x v="3"/>
    <x v="1"/>
  </r>
  <r>
    <x v="108"/>
    <x v="95"/>
    <n v="1081"/>
    <x v="6"/>
    <x v="3"/>
    <x v="3"/>
    <n v="5"/>
    <n v="24209"/>
    <n v="25"/>
    <x v="108"/>
    <x v="0"/>
    <x v="1"/>
  </r>
  <r>
    <x v="109"/>
    <x v="96"/>
    <n v="1090"/>
    <x v="6"/>
    <x v="4"/>
    <x v="4"/>
    <n v="5"/>
    <n v="9086"/>
    <n v="15"/>
    <x v="109"/>
    <x v="0"/>
    <x v="1"/>
  </r>
  <r>
    <x v="110"/>
    <x v="97"/>
    <n v="1071"/>
    <x v="5"/>
    <x v="2"/>
    <x v="2"/>
    <n v="2"/>
    <n v="47016"/>
    <n v="10"/>
    <x v="110"/>
    <x v="3"/>
    <x v="1"/>
  </r>
  <r>
    <x v="111"/>
    <x v="98"/>
    <n v="1020"/>
    <x v="6"/>
    <x v="3"/>
    <x v="3"/>
    <n v="1"/>
    <n v="30741"/>
    <n v="5"/>
    <x v="111"/>
    <x v="2"/>
    <x v="0"/>
  </r>
  <r>
    <x v="112"/>
    <x v="99"/>
    <n v="1059"/>
    <x v="0"/>
    <x v="4"/>
    <x v="4"/>
    <n v="4"/>
    <n v="32121"/>
    <n v="20"/>
    <x v="112"/>
    <x v="3"/>
    <x v="1"/>
  </r>
  <r>
    <x v="113"/>
    <x v="47"/>
    <n v="1036"/>
    <x v="2"/>
    <x v="2"/>
    <x v="2"/>
    <n v="5"/>
    <n v="49409"/>
    <n v="10"/>
    <x v="113"/>
    <x v="2"/>
    <x v="0"/>
  </r>
  <r>
    <x v="114"/>
    <x v="100"/>
    <n v="1075"/>
    <x v="6"/>
    <x v="4"/>
    <x v="4"/>
    <n v="1"/>
    <n v="19036"/>
    <n v="15"/>
    <x v="114"/>
    <x v="1"/>
    <x v="2"/>
  </r>
  <r>
    <x v="115"/>
    <x v="101"/>
    <n v="1098"/>
    <x v="2"/>
    <x v="1"/>
    <x v="1"/>
    <n v="4"/>
    <n v="23118"/>
    <n v="15"/>
    <x v="115"/>
    <x v="3"/>
    <x v="2"/>
  </r>
  <r>
    <x v="116"/>
    <x v="102"/>
    <n v="1100"/>
    <x v="2"/>
    <x v="3"/>
    <x v="3"/>
    <n v="2"/>
    <n v="37973"/>
    <n v="20"/>
    <x v="116"/>
    <x v="0"/>
    <x v="2"/>
  </r>
  <r>
    <x v="117"/>
    <x v="103"/>
    <n v="1005"/>
    <x v="0"/>
    <x v="7"/>
    <x v="1"/>
    <n v="4"/>
    <n v="25802"/>
    <n v="10"/>
    <x v="117"/>
    <x v="2"/>
    <x v="1"/>
  </r>
  <r>
    <x v="118"/>
    <x v="104"/>
    <n v="1093"/>
    <x v="0"/>
    <x v="7"/>
    <x v="1"/>
    <n v="1"/>
    <n v="34968"/>
    <n v="20"/>
    <x v="118"/>
    <x v="3"/>
    <x v="0"/>
  </r>
  <r>
    <x v="119"/>
    <x v="105"/>
    <n v="1080"/>
    <x v="2"/>
    <x v="6"/>
    <x v="4"/>
    <n v="1"/>
    <n v="31268"/>
    <n v="15"/>
    <x v="119"/>
    <x v="0"/>
    <x v="2"/>
  </r>
  <r>
    <x v="120"/>
    <x v="32"/>
    <n v="1005"/>
    <x v="1"/>
    <x v="1"/>
    <x v="1"/>
    <n v="4"/>
    <n v="21252"/>
    <n v="20"/>
    <x v="120"/>
    <x v="1"/>
    <x v="0"/>
  </r>
  <r>
    <x v="121"/>
    <x v="106"/>
    <n v="1013"/>
    <x v="1"/>
    <x v="4"/>
    <x v="4"/>
    <n v="2"/>
    <n v="49440"/>
    <n v="5"/>
    <x v="121"/>
    <x v="3"/>
    <x v="1"/>
  </r>
  <r>
    <x v="122"/>
    <x v="10"/>
    <n v="1038"/>
    <x v="3"/>
    <x v="4"/>
    <x v="4"/>
    <n v="1"/>
    <n v="3514"/>
    <n v="15"/>
    <x v="122"/>
    <x v="2"/>
    <x v="2"/>
  </r>
  <r>
    <x v="123"/>
    <x v="34"/>
    <n v="1088"/>
    <x v="0"/>
    <x v="6"/>
    <x v="4"/>
    <n v="2"/>
    <n v="35310"/>
    <n v="20"/>
    <x v="123"/>
    <x v="1"/>
    <x v="1"/>
  </r>
  <r>
    <x v="124"/>
    <x v="107"/>
    <n v="1031"/>
    <x v="6"/>
    <x v="0"/>
    <x v="0"/>
    <n v="5"/>
    <n v="25570"/>
    <n v="25"/>
    <x v="124"/>
    <x v="1"/>
    <x v="1"/>
  </r>
  <r>
    <x v="125"/>
    <x v="108"/>
    <n v="1002"/>
    <x v="6"/>
    <x v="7"/>
    <x v="1"/>
    <n v="3"/>
    <n v="30618"/>
    <n v="15"/>
    <x v="125"/>
    <x v="2"/>
    <x v="0"/>
  </r>
  <r>
    <x v="126"/>
    <x v="109"/>
    <n v="1076"/>
    <x v="4"/>
    <x v="1"/>
    <x v="1"/>
    <n v="2"/>
    <n v="5340"/>
    <n v="20"/>
    <x v="126"/>
    <x v="3"/>
    <x v="0"/>
  </r>
  <r>
    <x v="127"/>
    <x v="61"/>
    <n v="1062"/>
    <x v="1"/>
    <x v="4"/>
    <x v="4"/>
    <n v="4"/>
    <n v="20299"/>
    <n v="10"/>
    <x v="127"/>
    <x v="1"/>
    <x v="2"/>
  </r>
  <r>
    <x v="128"/>
    <x v="110"/>
    <n v="1038"/>
    <x v="5"/>
    <x v="2"/>
    <x v="2"/>
    <n v="3"/>
    <n v="38170"/>
    <n v="15"/>
    <x v="128"/>
    <x v="3"/>
    <x v="2"/>
  </r>
  <r>
    <x v="129"/>
    <x v="111"/>
    <n v="1096"/>
    <x v="6"/>
    <x v="9"/>
    <x v="0"/>
    <n v="5"/>
    <n v="45444"/>
    <n v="5"/>
    <x v="129"/>
    <x v="2"/>
    <x v="1"/>
  </r>
  <r>
    <x v="130"/>
    <x v="112"/>
    <n v="1033"/>
    <x v="0"/>
    <x v="2"/>
    <x v="2"/>
    <n v="3"/>
    <n v="14852"/>
    <n v="10"/>
    <x v="130"/>
    <x v="0"/>
    <x v="0"/>
  </r>
  <r>
    <x v="131"/>
    <x v="113"/>
    <n v="1047"/>
    <x v="0"/>
    <x v="9"/>
    <x v="0"/>
    <n v="3"/>
    <n v="29389"/>
    <n v="5"/>
    <x v="131"/>
    <x v="0"/>
    <x v="2"/>
  </r>
  <r>
    <x v="132"/>
    <x v="35"/>
    <n v="1070"/>
    <x v="3"/>
    <x v="5"/>
    <x v="0"/>
    <n v="4"/>
    <n v="12010"/>
    <n v="10"/>
    <x v="132"/>
    <x v="2"/>
    <x v="1"/>
  </r>
  <r>
    <x v="133"/>
    <x v="114"/>
    <n v="1060"/>
    <x v="1"/>
    <x v="4"/>
    <x v="4"/>
    <n v="4"/>
    <n v="19842"/>
    <n v="15"/>
    <x v="133"/>
    <x v="1"/>
    <x v="1"/>
  </r>
  <r>
    <x v="134"/>
    <x v="115"/>
    <n v="1002"/>
    <x v="4"/>
    <x v="8"/>
    <x v="0"/>
    <n v="5"/>
    <n v="24471"/>
    <n v="5"/>
    <x v="134"/>
    <x v="0"/>
    <x v="2"/>
  </r>
  <r>
    <x v="135"/>
    <x v="59"/>
    <n v="1048"/>
    <x v="1"/>
    <x v="5"/>
    <x v="0"/>
    <n v="3"/>
    <n v="38809"/>
    <n v="20"/>
    <x v="135"/>
    <x v="1"/>
    <x v="2"/>
  </r>
  <r>
    <x v="136"/>
    <x v="116"/>
    <n v="1029"/>
    <x v="1"/>
    <x v="9"/>
    <x v="0"/>
    <n v="5"/>
    <n v="37292"/>
    <n v="15"/>
    <x v="136"/>
    <x v="3"/>
    <x v="0"/>
  </r>
  <r>
    <x v="137"/>
    <x v="117"/>
    <n v="1005"/>
    <x v="4"/>
    <x v="4"/>
    <x v="4"/>
    <n v="4"/>
    <n v="8146"/>
    <n v="10"/>
    <x v="137"/>
    <x v="3"/>
    <x v="1"/>
  </r>
  <r>
    <x v="138"/>
    <x v="118"/>
    <n v="1059"/>
    <x v="3"/>
    <x v="0"/>
    <x v="0"/>
    <n v="2"/>
    <n v="35728"/>
    <n v="10"/>
    <x v="138"/>
    <x v="3"/>
    <x v="0"/>
  </r>
  <r>
    <x v="139"/>
    <x v="73"/>
    <n v="1079"/>
    <x v="2"/>
    <x v="6"/>
    <x v="4"/>
    <n v="4"/>
    <n v="43420"/>
    <n v="5"/>
    <x v="139"/>
    <x v="2"/>
    <x v="1"/>
  </r>
  <r>
    <x v="140"/>
    <x v="60"/>
    <n v="1047"/>
    <x v="1"/>
    <x v="5"/>
    <x v="0"/>
    <n v="2"/>
    <n v="29557"/>
    <n v="20"/>
    <x v="140"/>
    <x v="2"/>
    <x v="0"/>
  </r>
  <r>
    <x v="141"/>
    <x v="119"/>
    <n v="1016"/>
    <x v="6"/>
    <x v="5"/>
    <x v="0"/>
    <n v="1"/>
    <n v="26592"/>
    <n v="15"/>
    <x v="141"/>
    <x v="0"/>
    <x v="0"/>
  </r>
  <r>
    <x v="142"/>
    <x v="40"/>
    <n v="1032"/>
    <x v="0"/>
    <x v="3"/>
    <x v="3"/>
    <n v="5"/>
    <n v="1899"/>
    <n v="5"/>
    <x v="142"/>
    <x v="1"/>
    <x v="1"/>
  </r>
  <r>
    <x v="143"/>
    <x v="102"/>
    <n v="1043"/>
    <x v="0"/>
    <x v="1"/>
    <x v="1"/>
    <n v="2"/>
    <n v="38929"/>
    <n v="10"/>
    <x v="143"/>
    <x v="0"/>
    <x v="2"/>
  </r>
  <r>
    <x v="144"/>
    <x v="120"/>
    <n v="1015"/>
    <x v="5"/>
    <x v="6"/>
    <x v="4"/>
    <n v="2"/>
    <n v="35903"/>
    <n v="15"/>
    <x v="144"/>
    <x v="1"/>
    <x v="1"/>
  </r>
  <r>
    <x v="145"/>
    <x v="121"/>
    <n v="1023"/>
    <x v="4"/>
    <x v="5"/>
    <x v="0"/>
    <n v="2"/>
    <n v="39091"/>
    <n v="15"/>
    <x v="145"/>
    <x v="0"/>
    <x v="1"/>
  </r>
  <r>
    <x v="146"/>
    <x v="122"/>
    <n v="1058"/>
    <x v="3"/>
    <x v="8"/>
    <x v="0"/>
    <n v="5"/>
    <n v="7948"/>
    <n v="5"/>
    <x v="146"/>
    <x v="0"/>
    <x v="2"/>
  </r>
  <r>
    <x v="147"/>
    <x v="26"/>
    <n v="1067"/>
    <x v="4"/>
    <x v="1"/>
    <x v="1"/>
    <n v="2"/>
    <n v="40811"/>
    <n v="5"/>
    <x v="147"/>
    <x v="3"/>
    <x v="0"/>
  </r>
  <r>
    <x v="148"/>
    <x v="123"/>
    <n v="1088"/>
    <x v="1"/>
    <x v="9"/>
    <x v="0"/>
    <n v="1"/>
    <n v="31890"/>
    <n v="20"/>
    <x v="148"/>
    <x v="3"/>
    <x v="0"/>
  </r>
  <r>
    <x v="149"/>
    <x v="124"/>
    <n v="1019"/>
    <x v="1"/>
    <x v="7"/>
    <x v="1"/>
    <n v="1"/>
    <n v="5794"/>
    <n v="15"/>
    <x v="149"/>
    <x v="1"/>
    <x v="2"/>
  </r>
  <r>
    <x v="150"/>
    <x v="125"/>
    <n v="1077"/>
    <x v="4"/>
    <x v="2"/>
    <x v="2"/>
    <n v="5"/>
    <n v="36437"/>
    <n v="15"/>
    <x v="150"/>
    <x v="3"/>
    <x v="0"/>
  </r>
  <r>
    <x v="151"/>
    <x v="53"/>
    <n v="1084"/>
    <x v="7"/>
    <x v="2"/>
    <x v="2"/>
    <n v="4"/>
    <n v="6999"/>
    <n v="5"/>
    <x v="151"/>
    <x v="3"/>
    <x v="2"/>
  </r>
  <r>
    <x v="152"/>
    <x v="126"/>
    <n v="1054"/>
    <x v="1"/>
    <x v="3"/>
    <x v="3"/>
    <n v="4"/>
    <n v="22712"/>
    <n v="20"/>
    <x v="152"/>
    <x v="2"/>
    <x v="2"/>
  </r>
  <r>
    <x v="153"/>
    <x v="49"/>
    <n v="1061"/>
    <x v="1"/>
    <x v="5"/>
    <x v="0"/>
    <n v="3"/>
    <n v="25030"/>
    <n v="10"/>
    <x v="153"/>
    <x v="0"/>
    <x v="1"/>
  </r>
  <r>
    <x v="154"/>
    <x v="127"/>
    <n v="1072"/>
    <x v="5"/>
    <x v="0"/>
    <x v="0"/>
    <n v="4"/>
    <n v="6828"/>
    <n v="15"/>
    <x v="154"/>
    <x v="2"/>
    <x v="0"/>
  </r>
  <r>
    <x v="155"/>
    <x v="69"/>
    <n v="1037"/>
    <x v="4"/>
    <x v="0"/>
    <x v="0"/>
    <n v="4"/>
    <n v="23673"/>
    <n v="20"/>
    <x v="155"/>
    <x v="2"/>
    <x v="1"/>
  </r>
  <r>
    <x v="156"/>
    <x v="128"/>
    <n v="1062"/>
    <x v="7"/>
    <x v="2"/>
    <x v="2"/>
    <n v="5"/>
    <n v="14442"/>
    <n v="10"/>
    <x v="156"/>
    <x v="0"/>
    <x v="2"/>
  </r>
  <r>
    <x v="157"/>
    <x v="129"/>
    <n v="1029"/>
    <x v="2"/>
    <x v="1"/>
    <x v="1"/>
    <n v="3"/>
    <n v="8029"/>
    <n v="15"/>
    <x v="157"/>
    <x v="0"/>
    <x v="0"/>
  </r>
  <r>
    <x v="158"/>
    <x v="86"/>
    <n v="1098"/>
    <x v="4"/>
    <x v="4"/>
    <x v="4"/>
    <n v="1"/>
    <n v="12323"/>
    <n v="15"/>
    <x v="158"/>
    <x v="2"/>
    <x v="2"/>
  </r>
  <r>
    <x v="159"/>
    <x v="128"/>
    <n v="1052"/>
    <x v="1"/>
    <x v="9"/>
    <x v="0"/>
    <n v="2"/>
    <n v="9888"/>
    <n v="25"/>
    <x v="159"/>
    <x v="1"/>
    <x v="0"/>
  </r>
  <r>
    <x v="160"/>
    <x v="130"/>
    <n v="1049"/>
    <x v="2"/>
    <x v="9"/>
    <x v="0"/>
    <n v="1"/>
    <n v="49397"/>
    <n v="25"/>
    <x v="160"/>
    <x v="3"/>
    <x v="2"/>
  </r>
  <r>
    <x v="161"/>
    <x v="131"/>
    <n v="1077"/>
    <x v="1"/>
    <x v="6"/>
    <x v="4"/>
    <n v="3"/>
    <n v="20923"/>
    <n v="15"/>
    <x v="161"/>
    <x v="0"/>
    <x v="1"/>
  </r>
  <r>
    <x v="162"/>
    <x v="89"/>
    <n v="1057"/>
    <x v="2"/>
    <x v="6"/>
    <x v="4"/>
    <n v="5"/>
    <n v="3761"/>
    <n v="5"/>
    <x v="162"/>
    <x v="3"/>
    <x v="0"/>
  </r>
  <r>
    <x v="163"/>
    <x v="132"/>
    <n v="1015"/>
    <x v="3"/>
    <x v="7"/>
    <x v="1"/>
    <n v="4"/>
    <n v="18402"/>
    <n v="10"/>
    <x v="163"/>
    <x v="3"/>
    <x v="1"/>
  </r>
  <r>
    <x v="164"/>
    <x v="108"/>
    <n v="1040"/>
    <x v="5"/>
    <x v="4"/>
    <x v="4"/>
    <n v="5"/>
    <n v="32391"/>
    <n v="25"/>
    <x v="164"/>
    <x v="1"/>
    <x v="2"/>
  </r>
  <r>
    <x v="165"/>
    <x v="52"/>
    <n v="1028"/>
    <x v="0"/>
    <x v="2"/>
    <x v="2"/>
    <n v="1"/>
    <n v="1003"/>
    <n v="10"/>
    <x v="165"/>
    <x v="2"/>
    <x v="2"/>
  </r>
  <r>
    <x v="166"/>
    <x v="133"/>
    <n v="1023"/>
    <x v="0"/>
    <x v="5"/>
    <x v="0"/>
    <n v="1"/>
    <n v="1006"/>
    <n v="20"/>
    <x v="166"/>
    <x v="3"/>
    <x v="0"/>
  </r>
  <r>
    <x v="167"/>
    <x v="134"/>
    <n v="1051"/>
    <x v="5"/>
    <x v="3"/>
    <x v="3"/>
    <n v="5"/>
    <n v="37116"/>
    <n v="15"/>
    <x v="167"/>
    <x v="3"/>
    <x v="1"/>
  </r>
  <r>
    <x v="168"/>
    <x v="135"/>
    <n v="1074"/>
    <x v="2"/>
    <x v="7"/>
    <x v="1"/>
    <n v="1"/>
    <n v="21016"/>
    <n v="25"/>
    <x v="168"/>
    <x v="3"/>
    <x v="2"/>
  </r>
  <r>
    <x v="169"/>
    <x v="136"/>
    <n v="1080"/>
    <x v="6"/>
    <x v="0"/>
    <x v="0"/>
    <n v="4"/>
    <n v="1866"/>
    <n v="15"/>
    <x v="169"/>
    <x v="2"/>
    <x v="1"/>
  </r>
  <r>
    <x v="170"/>
    <x v="23"/>
    <n v="1052"/>
    <x v="1"/>
    <x v="8"/>
    <x v="0"/>
    <n v="1"/>
    <n v="16445"/>
    <n v="20"/>
    <x v="170"/>
    <x v="3"/>
    <x v="2"/>
  </r>
  <r>
    <x v="171"/>
    <x v="137"/>
    <n v="1066"/>
    <x v="1"/>
    <x v="5"/>
    <x v="0"/>
    <n v="2"/>
    <n v="22327"/>
    <n v="10"/>
    <x v="171"/>
    <x v="1"/>
    <x v="2"/>
  </r>
  <r>
    <x v="172"/>
    <x v="138"/>
    <n v="1033"/>
    <x v="7"/>
    <x v="5"/>
    <x v="0"/>
    <n v="2"/>
    <n v="15984"/>
    <n v="5"/>
    <x v="172"/>
    <x v="1"/>
    <x v="0"/>
  </r>
  <r>
    <x v="173"/>
    <x v="139"/>
    <n v="1097"/>
    <x v="6"/>
    <x v="6"/>
    <x v="4"/>
    <n v="1"/>
    <n v="12109"/>
    <n v="20"/>
    <x v="173"/>
    <x v="2"/>
    <x v="0"/>
  </r>
  <r>
    <x v="174"/>
    <x v="140"/>
    <n v="1057"/>
    <x v="4"/>
    <x v="5"/>
    <x v="0"/>
    <n v="2"/>
    <n v="29320"/>
    <n v="5"/>
    <x v="174"/>
    <x v="2"/>
    <x v="0"/>
  </r>
  <r>
    <x v="175"/>
    <x v="141"/>
    <n v="1060"/>
    <x v="6"/>
    <x v="9"/>
    <x v="0"/>
    <n v="3"/>
    <n v="33748"/>
    <n v="5"/>
    <x v="175"/>
    <x v="0"/>
    <x v="1"/>
  </r>
  <r>
    <x v="176"/>
    <x v="142"/>
    <n v="1077"/>
    <x v="2"/>
    <x v="5"/>
    <x v="0"/>
    <n v="3"/>
    <n v="5528"/>
    <n v="5"/>
    <x v="176"/>
    <x v="3"/>
    <x v="0"/>
  </r>
  <r>
    <x v="177"/>
    <x v="143"/>
    <n v="1025"/>
    <x v="3"/>
    <x v="1"/>
    <x v="1"/>
    <n v="1"/>
    <n v="29973"/>
    <n v="25"/>
    <x v="177"/>
    <x v="3"/>
    <x v="0"/>
  </r>
  <r>
    <x v="178"/>
    <x v="144"/>
    <n v="1092"/>
    <x v="1"/>
    <x v="6"/>
    <x v="4"/>
    <n v="1"/>
    <n v="30025"/>
    <n v="5"/>
    <x v="178"/>
    <x v="1"/>
    <x v="1"/>
  </r>
  <r>
    <x v="179"/>
    <x v="74"/>
    <n v="1079"/>
    <x v="0"/>
    <x v="3"/>
    <x v="3"/>
    <n v="4"/>
    <n v="29297"/>
    <n v="25"/>
    <x v="179"/>
    <x v="2"/>
    <x v="2"/>
  </r>
  <r>
    <x v="180"/>
    <x v="145"/>
    <n v="1077"/>
    <x v="5"/>
    <x v="4"/>
    <x v="4"/>
    <n v="4"/>
    <n v="27289"/>
    <n v="15"/>
    <x v="180"/>
    <x v="2"/>
    <x v="1"/>
  </r>
  <r>
    <x v="181"/>
    <x v="146"/>
    <n v="1033"/>
    <x v="0"/>
    <x v="5"/>
    <x v="0"/>
    <n v="1"/>
    <n v="37066"/>
    <n v="20"/>
    <x v="181"/>
    <x v="2"/>
    <x v="1"/>
  </r>
  <r>
    <x v="182"/>
    <x v="53"/>
    <n v="1090"/>
    <x v="2"/>
    <x v="2"/>
    <x v="2"/>
    <n v="2"/>
    <n v="23425"/>
    <n v="15"/>
    <x v="182"/>
    <x v="1"/>
    <x v="0"/>
  </r>
  <r>
    <x v="183"/>
    <x v="147"/>
    <n v="1043"/>
    <x v="0"/>
    <x v="0"/>
    <x v="0"/>
    <n v="3"/>
    <n v="37129"/>
    <n v="20"/>
    <x v="183"/>
    <x v="0"/>
    <x v="0"/>
  </r>
  <r>
    <x v="184"/>
    <x v="148"/>
    <n v="1040"/>
    <x v="0"/>
    <x v="8"/>
    <x v="0"/>
    <n v="5"/>
    <n v="24212"/>
    <n v="5"/>
    <x v="184"/>
    <x v="1"/>
    <x v="2"/>
  </r>
  <r>
    <x v="185"/>
    <x v="38"/>
    <n v="1010"/>
    <x v="4"/>
    <x v="7"/>
    <x v="1"/>
    <n v="2"/>
    <n v="15346"/>
    <n v="10"/>
    <x v="185"/>
    <x v="0"/>
    <x v="0"/>
  </r>
  <r>
    <x v="186"/>
    <x v="149"/>
    <n v="1017"/>
    <x v="2"/>
    <x v="1"/>
    <x v="1"/>
    <n v="5"/>
    <n v="2973"/>
    <n v="15"/>
    <x v="186"/>
    <x v="1"/>
    <x v="1"/>
  </r>
  <r>
    <x v="187"/>
    <x v="150"/>
    <n v="1053"/>
    <x v="3"/>
    <x v="6"/>
    <x v="4"/>
    <n v="5"/>
    <n v="11348"/>
    <n v="20"/>
    <x v="187"/>
    <x v="1"/>
    <x v="2"/>
  </r>
  <r>
    <x v="188"/>
    <x v="102"/>
    <n v="1069"/>
    <x v="7"/>
    <x v="2"/>
    <x v="2"/>
    <n v="3"/>
    <n v="49808"/>
    <n v="20"/>
    <x v="188"/>
    <x v="2"/>
    <x v="2"/>
  </r>
  <r>
    <x v="189"/>
    <x v="81"/>
    <n v="1060"/>
    <x v="4"/>
    <x v="3"/>
    <x v="3"/>
    <n v="3"/>
    <n v="44953"/>
    <n v="25"/>
    <x v="189"/>
    <x v="3"/>
    <x v="0"/>
  </r>
  <r>
    <x v="190"/>
    <x v="90"/>
    <n v="1018"/>
    <x v="4"/>
    <x v="1"/>
    <x v="1"/>
    <n v="4"/>
    <n v="11120"/>
    <n v="10"/>
    <x v="190"/>
    <x v="0"/>
    <x v="0"/>
  </r>
  <r>
    <x v="191"/>
    <x v="151"/>
    <n v="1067"/>
    <x v="1"/>
    <x v="7"/>
    <x v="1"/>
    <n v="3"/>
    <n v="36842"/>
    <n v="5"/>
    <x v="191"/>
    <x v="2"/>
    <x v="1"/>
  </r>
  <r>
    <x v="192"/>
    <x v="54"/>
    <n v="1056"/>
    <x v="1"/>
    <x v="6"/>
    <x v="4"/>
    <n v="3"/>
    <n v="29946"/>
    <n v="25"/>
    <x v="192"/>
    <x v="1"/>
    <x v="2"/>
  </r>
  <r>
    <x v="193"/>
    <x v="115"/>
    <n v="1065"/>
    <x v="3"/>
    <x v="5"/>
    <x v="0"/>
    <n v="1"/>
    <n v="27690"/>
    <n v="5"/>
    <x v="193"/>
    <x v="1"/>
    <x v="2"/>
  </r>
  <r>
    <x v="194"/>
    <x v="152"/>
    <n v="1013"/>
    <x v="3"/>
    <x v="0"/>
    <x v="0"/>
    <n v="3"/>
    <n v="15215"/>
    <n v="5"/>
    <x v="194"/>
    <x v="1"/>
    <x v="1"/>
  </r>
  <r>
    <x v="195"/>
    <x v="153"/>
    <n v="1061"/>
    <x v="6"/>
    <x v="9"/>
    <x v="0"/>
    <n v="3"/>
    <n v="31462"/>
    <n v="10"/>
    <x v="195"/>
    <x v="0"/>
    <x v="1"/>
  </r>
  <r>
    <x v="196"/>
    <x v="154"/>
    <n v="1094"/>
    <x v="2"/>
    <x v="9"/>
    <x v="0"/>
    <n v="3"/>
    <n v="14633"/>
    <n v="10"/>
    <x v="196"/>
    <x v="0"/>
    <x v="2"/>
  </r>
  <r>
    <x v="197"/>
    <x v="155"/>
    <n v="1054"/>
    <x v="6"/>
    <x v="3"/>
    <x v="3"/>
    <n v="3"/>
    <n v="8485"/>
    <n v="5"/>
    <x v="197"/>
    <x v="0"/>
    <x v="1"/>
  </r>
  <r>
    <x v="198"/>
    <x v="156"/>
    <n v="1066"/>
    <x v="7"/>
    <x v="7"/>
    <x v="1"/>
    <n v="5"/>
    <n v="35630"/>
    <n v="5"/>
    <x v="198"/>
    <x v="1"/>
    <x v="2"/>
  </r>
  <r>
    <x v="199"/>
    <x v="19"/>
    <n v="1074"/>
    <x v="2"/>
    <x v="8"/>
    <x v="0"/>
    <n v="1"/>
    <n v="40792"/>
    <n v="15"/>
    <x v="199"/>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J3:K9" firstHeaderRow="1" firstDataRow="1" firstDataCol="1"/>
  <pivotFields count="12">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11">
        <item x="2"/>
        <item x="8"/>
        <item x="6"/>
        <item x="4"/>
        <item x="9"/>
        <item x="0"/>
        <item x="5"/>
        <item x="7"/>
        <item x="3"/>
        <item x="1"/>
        <item t="default"/>
      </items>
    </pivotField>
    <pivotField axis="axisRow" showAll="0">
      <items count="6">
        <item x="4"/>
        <item x="0"/>
        <item x="1"/>
        <item x="2"/>
        <item x="3"/>
        <item t="default"/>
      </items>
    </pivotField>
    <pivotField showAll="0"/>
    <pivotField dataField="1" showAll="0"/>
    <pivotField showAll="0"/>
    <pivotField showAll="0"/>
    <pivotField showAll="0"/>
    <pivotField showAll="0"/>
  </pivotFields>
  <rowFields count="1">
    <field x="5"/>
  </rowFields>
  <rowItems count="6">
    <i>
      <x/>
    </i>
    <i>
      <x v="1"/>
    </i>
    <i>
      <x v="2"/>
    </i>
    <i>
      <x v="3"/>
    </i>
    <i>
      <x v="4"/>
    </i>
    <i t="grand">
      <x/>
    </i>
  </rowItems>
  <colItems count="1">
    <i/>
  </colItems>
  <dataFields count="1">
    <dataField name="Average of Unit_Price" fld="7"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G3:H9" firstHeaderRow="1" firstDataRow="1" firstDataCol="1"/>
  <pivotFields count="12">
    <pivotField showAll="0"/>
    <pivotField numFmtId="14" showAll="0">
      <items count="15">
        <item x="0"/>
        <item x="1"/>
        <item x="2"/>
        <item x="3"/>
        <item x="4"/>
        <item x="5"/>
        <item x="6"/>
        <item x="7"/>
        <item x="8"/>
        <item x="9"/>
        <item x="10"/>
        <item x="11"/>
        <item x="12"/>
        <item x="13"/>
        <item t="default"/>
      </items>
    </pivotField>
    <pivotField showAll="0"/>
    <pivotField showAll="0"/>
    <pivotField axis="axisRow" showAll="0" measureFilter="1">
      <items count="11">
        <item x="2"/>
        <item x="8"/>
        <item x="6"/>
        <item x="4"/>
        <item x="9"/>
        <item x="0"/>
        <item x="5"/>
        <item x="7"/>
        <item x="3"/>
        <item x="1"/>
        <item t="default"/>
      </items>
    </pivotField>
    <pivotField showAll="0">
      <items count="6">
        <item x="4"/>
        <item x="0"/>
        <item x="1"/>
        <item x="2"/>
        <item x="3"/>
        <item t="default"/>
      </items>
    </pivotField>
    <pivotField showAll="0"/>
    <pivotField showAll="0"/>
    <pivotField showAll="0"/>
    <pivotField dataField="1" showAll="0"/>
    <pivotField showAll="0"/>
    <pivotField showAll="0"/>
  </pivotFields>
  <rowFields count="1">
    <field x="4"/>
  </rowFields>
  <rowItems count="6">
    <i>
      <x/>
    </i>
    <i>
      <x v="2"/>
    </i>
    <i>
      <x v="4"/>
    </i>
    <i>
      <x v="7"/>
    </i>
    <i>
      <x v="9"/>
    </i>
    <i t="grand">
      <x/>
    </i>
  </rowItems>
  <colItems count="1">
    <i/>
  </colItems>
  <dataFields count="1">
    <dataField name="Sum of Sales_Amount" fld="9" baseField="0" baseItem="0"/>
  </dataField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D3:E14" firstHeaderRow="1" firstDataRow="1" firstDataCol="1"/>
  <pivotFields count="12">
    <pivotField showAll="0"/>
    <pivotField numFmtId="14" showAll="0">
      <items count="15">
        <item x="0"/>
        <item x="1"/>
        <item x="2"/>
        <item x="3"/>
        <item x="4"/>
        <item x="5"/>
        <item x="6"/>
        <item x="7"/>
        <item x="8"/>
        <item x="9"/>
        <item x="10"/>
        <item x="11"/>
        <item x="12"/>
        <item x="13"/>
        <item t="default"/>
      </items>
    </pivotField>
    <pivotField showAll="0"/>
    <pivotField showAll="0"/>
    <pivotField axis="axisRow" showAll="0" measureFilter="1" sortType="descending">
      <items count="11">
        <item x="2"/>
        <item x="8"/>
        <item x="6"/>
        <item x="4"/>
        <item x="9"/>
        <item x="0"/>
        <item x="5"/>
        <item x="7"/>
        <item x="3"/>
        <item x="1"/>
        <item t="default"/>
      </items>
      <autoSortScope>
        <pivotArea dataOnly="0" outline="0" fieldPosition="0">
          <references count="1">
            <reference field="4294967294" count="1" selected="0">
              <x v="0"/>
            </reference>
          </references>
        </pivotArea>
      </autoSortScope>
    </pivotField>
    <pivotField showAll="0">
      <items count="6">
        <item x="4"/>
        <item x="0"/>
        <item x="1"/>
        <item x="2"/>
        <item x="3"/>
        <item t="default"/>
      </items>
    </pivotField>
    <pivotField dataField="1" showAll="0"/>
    <pivotField showAll="0"/>
    <pivotField showAll="0"/>
    <pivotField showAll="0"/>
    <pivotField showAll="0"/>
    <pivotField showAll="0"/>
  </pivotFields>
  <rowFields count="1">
    <field x="4"/>
  </rowFields>
  <rowItems count="11">
    <i>
      <x v="7"/>
    </i>
    <i>
      <x/>
    </i>
    <i>
      <x v="2"/>
    </i>
    <i>
      <x v="9"/>
    </i>
    <i>
      <x v="3"/>
    </i>
    <i>
      <x v="8"/>
    </i>
    <i>
      <x v="1"/>
    </i>
    <i>
      <x v="4"/>
    </i>
    <i>
      <x v="6"/>
    </i>
    <i>
      <x v="5"/>
    </i>
    <i t="grand">
      <x/>
    </i>
  </rowItems>
  <colItems count="1">
    <i/>
  </colItems>
  <dataFields count="1">
    <dataField name="Sum of Quantity"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1">
  <location ref="A3:B9" firstHeaderRow="1" firstDataRow="1" firstDataCol="1"/>
  <pivotFields count="12">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items count="6">
        <item x="4"/>
        <item x="0"/>
        <item x="1"/>
        <item x="2"/>
        <item x="3"/>
        <item t="default"/>
      </items>
    </pivotField>
    <pivotField showAll="0"/>
    <pivotField showAll="0"/>
    <pivotField showAll="0"/>
    <pivotField dataField="1" showAll="0"/>
    <pivotField showAll="0"/>
    <pivotField showAll="0"/>
  </pivotFields>
  <rowFields count="1">
    <field x="5"/>
  </rowFields>
  <rowItems count="6">
    <i>
      <x/>
    </i>
    <i>
      <x v="1"/>
    </i>
    <i>
      <x v="2"/>
    </i>
    <i>
      <x v="3"/>
    </i>
    <i>
      <x v="4"/>
    </i>
    <i t="grand">
      <x/>
    </i>
  </rowItems>
  <colItems count="1">
    <i/>
  </colItems>
  <dataFields count="1">
    <dataField name="Sum of Sales_Amount" fld="9" baseField="0" baseItem="0"/>
  </dataFields>
  <chartFormats count="3">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2">
  <location ref="A3:B12" firstHeaderRow="1" firstDataRow="1" firstDataCol="1"/>
  <pivotFields count="12">
    <pivotField showAll="0"/>
    <pivotField numFmtId="14" showAll="0">
      <items count="15">
        <item x="0"/>
        <item x="1"/>
        <item x="2"/>
        <item x="3"/>
        <item x="4"/>
        <item x="5"/>
        <item x="6"/>
        <item x="7"/>
        <item x="8"/>
        <item x="9"/>
        <item x="10"/>
        <item x="11"/>
        <item x="12"/>
        <item x="13"/>
        <item t="default"/>
      </items>
    </pivotField>
    <pivotField showAll="0"/>
    <pivotField axis="axisRow" showAll="0" sortType="descending">
      <items count="9">
        <item x="2"/>
        <item x="7"/>
        <item x="1"/>
        <item x="6"/>
        <item x="3"/>
        <item x="4"/>
        <item x="5"/>
        <item x="0"/>
        <item t="default"/>
      </items>
      <autoSortScope>
        <pivotArea dataOnly="0" outline="0" fieldPosition="0">
          <references count="1">
            <reference field="4294967294" count="1" selected="0">
              <x v="0"/>
            </reference>
          </references>
        </pivotArea>
      </autoSortScope>
    </pivotField>
    <pivotField showAll="0">
      <items count="11">
        <item x="2"/>
        <item x="8"/>
        <item x="6"/>
        <item x="4"/>
        <item x="9"/>
        <item x="0"/>
        <item x="5"/>
        <item x="7"/>
        <item x="3"/>
        <item x="1"/>
        <item t="default"/>
      </items>
    </pivotField>
    <pivotField showAll="0">
      <items count="6">
        <item x="4"/>
        <item x="0"/>
        <item x="1"/>
        <item x="2"/>
        <item x="3"/>
        <item t="default"/>
      </items>
    </pivotField>
    <pivotField showAll="0"/>
    <pivotField showAll="0"/>
    <pivotField showAll="0"/>
    <pivotField dataField="1" showAll="0">
      <items count="201">
        <item x="166"/>
        <item x="165"/>
        <item x="3"/>
        <item x="122"/>
        <item x="80"/>
        <item x="93"/>
        <item x="149"/>
        <item x="40"/>
        <item x="86"/>
        <item x="169"/>
        <item x="32"/>
        <item x="103"/>
        <item x="2"/>
        <item x="126"/>
        <item x="51"/>
        <item x="142"/>
        <item x="24"/>
        <item x="42"/>
        <item x="100"/>
        <item x="173"/>
        <item x="158"/>
        <item x="11"/>
        <item x="62"/>
        <item x="44"/>
        <item x="186"/>
        <item x="26"/>
        <item x="85"/>
        <item x="170"/>
        <item x="159"/>
        <item x="75"/>
        <item x="7"/>
        <item x="176"/>
        <item x="168"/>
        <item x="16"/>
        <item x="114"/>
        <item x="94"/>
        <item x="162"/>
        <item x="66"/>
        <item x="61"/>
        <item x="107"/>
        <item x="157"/>
        <item x="4"/>
        <item x="48"/>
        <item x="29"/>
        <item x="177"/>
        <item x="141"/>
        <item x="37"/>
        <item x="154"/>
        <item x="89"/>
        <item x="197"/>
        <item x="60"/>
        <item x="97"/>
        <item x="102"/>
        <item x="148"/>
        <item x="53"/>
        <item x="193"/>
        <item x="119"/>
        <item x="151"/>
        <item x="185"/>
        <item x="104"/>
        <item x="118"/>
        <item x="178"/>
        <item x="36"/>
        <item x="111"/>
        <item x="137"/>
        <item x="181"/>
        <item x="172"/>
        <item x="1"/>
        <item x="79"/>
        <item x="17"/>
        <item x="20"/>
        <item x="12"/>
        <item x="52"/>
        <item x="98"/>
        <item x="76"/>
        <item x="199"/>
        <item x="160"/>
        <item x="74"/>
        <item x="146"/>
        <item x="109"/>
        <item x="5"/>
        <item x="196"/>
        <item x="182"/>
        <item x="190"/>
        <item x="130"/>
        <item x="13"/>
        <item x="65"/>
        <item x="171"/>
        <item x="34"/>
        <item x="84"/>
        <item x="59"/>
        <item x="0"/>
        <item x="8"/>
        <item x="27"/>
        <item x="132"/>
        <item x="194"/>
        <item x="90"/>
        <item x="38"/>
        <item x="187"/>
        <item x="19"/>
        <item x="140"/>
        <item x="81"/>
        <item x="88"/>
        <item x="161"/>
        <item x="99"/>
        <item x="73"/>
        <item x="72"/>
        <item x="174"/>
        <item x="123"/>
        <item x="28"/>
        <item x="31"/>
        <item x="116"/>
        <item x="144"/>
        <item x="56"/>
        <item x="64"/>
        <item x="15"/>
        <item x="138"/>
        <item x="25"/>
        <item x="156"/>
        <item x="163"/>
        <item x="145"/>
        <item x="67"/>
        <item x="192"/>
        <item x="133"/>
        <item x="153"/>
        <item x="120"/>
        <item x="55"/>
        <item x="45"/>
        <item x="143"/>
        <item x="87"/>
        <item x="14"/>
        <item x="152"/>
        <item x="127"/>
        <item x="47"/>
        <item x="96"/>
        <item x="49"/>
        <item x="92"/>
        <item x="155"/>
        <item x="105"/>
        <item x="82"/>
        <item x="10"/>
        <item x="41"/>
        <item x="147"/>
        <item x="125"/>
        <item x="115"/>
        <item x="131"/>
        <item x="69"/>
        <item x="110"/>
        <item x="195"/>
        <item x="179"/>
        <item x="91"/>
        <item x="183"/>
        <item x="6"/>
        <item x="108"/>
        <item x="39"/>
        <item x="180"/>
        <item x="117"/>
        <item x="135"/>
        <item x="121"/>
        <item x="78"/>
        <item x="124"/>
        <item x="175"/>
        <item x="128"/>
        <item x="95"/>
        <item x="33"/>
        <item x="189"/>
        <item x="112"/>
        <item x="30"/>
        <item x="191"/>
        <item x="54"/>
        <item x="106"/>
        <item x="22"/>
        <item x="101"/>
        <item x="184"/>
        <item x="57"/>
        <item x="134"/>
        <item x="188"/>
        <item x="164"/>
        <item x="70"/>
        <item x="21"/>
        <item x="35"/>
        <item x="50"/>
        <item x="58"/>
        <item x="46"/>
        <item x="150"/>
        <item x="167"/>
        <item x="136"/>
        <item x="83"/>
        <item x="139"/>
        <item x="23"/>
        <item x="18"/>
        <item x="63"/>
        <item x="71"/>
        <item x="198"/>
        <item x="43"/>
        <item x="129"/>
        <item x="9"/>
        <item x="68"/>
        <item x="113"/>
        <item x="77"/>
        <item t="default"/>
      </items>
    </pivotField>
    <pivotField showAll="0"/>
    <pivotField showAll="0"/>
  </pivotFields>
  <rowFields count="1">
    <field x="3"/>
  </rowFields>
  <rowItems count="9">
    <i>
      <x v="2"/>
    </i>
    <i>
      <x v="3"/>
    </i>
    <i>
      <x v="5"/>
    </i>
    <i>
      <x/>
    </i>
    <i>
      <x v="6"/>
    </i>
    <i>
      <x v="7"/>
    </i>
    <i>
      <x v="1"/>
    </i>
    <i>
      <x v="4"/>
    </i>
    <i t="grand">
      <x/>
    </i>
  </rowItems>
  <colItems count="1">
    <i/>
  </colItems>
  <dataFields count="1">
    <dataField name="Sum of Sales_Amount" fld="9" baseField="0" baseItem="0"/>
  </dataFields>
  <chartFormats count="10">
    <chartFormat chart="14"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4" format="3">
      <pivotArea type="data" outline="0" fieldPosition="0">
        <references count="2">
          <reference field="4294967294" count="1" selected="0">
            <x v="0"/>
          </reference>
          <reference field="3" count="1" selected="0">
            <x v="4"/>
          </reference>
        </references>
      </pivotArea>
    </chartFormat>
    <chartFormat chart="34" format="4">
      <pivotArea type="data" outline="0" fieldPosition="0">
        <references count="2">
          <reference field="4294967294" count="1" selected="0">
            <x v="0"/>
          </reference>
          <reference field="3" count="1" selected="0">
            <x v="1"/>
          </reference>
        </references>
      </pivotArea>
    </chartFormat>
    <chartFormat chart="34" format="5">
      <pivotArea type="data" outline="0" fieldPosition="0">
        <references count="2">
          <reference field="4294967294" count="1" selected="0">
            <x v="0"/>
          </reference>
          <reference field="3" count="1" selected="0">
            <x v="7"/>
          </reference>
        </references>
      </pivotArea>
    </chartFormat>
    <chartFormat chart="34" format="6">
      <pivotArea type="data" outline="0" fieldPosition="0">
        <references count="2">
          <reference field="4294967294" count="1" selected="0">
            <x v="0"/>
          </reference>
          <reference field="3" count="1" selected="0">
            <x v="6"/>
          </reference>
        </references>
      </pivotArea>
    </chartFormat>
    <chartFormat chart="34" format="7">
      <pivotArea type="data" outline="0" fieldPosition="0">
        <references count="2">
          <reference field="4294967294" count="1" selected="0">
            <x v="0"/>
          </reference>
          <reference field="3" count="1" selected="0">
            <x v="0"/>
          </reference>
        </references>
      </pivotArea>
    </chartFormat>
    <chartFormat chart="34" format="8">
      <pivotArea type="data" outline="0" fieldPosition="0">
        <references count="2">
          <reference field="4294967294" count="1" selected="0">
            <x v="0"/>
          </reference>
          <reference field="3" count="1" selected="0">
            <x v="5"/>
          </reference>
        </references>
      </pivotArea>
    </chartFormat>
    <chartFormat chart="34" format="9">
      <pivotArea type="data" outline="0" fieldPosition="0">
        <references count="2">
          <reference field="4294967294" count="1" selected="0">
            <x v="0"/>
          </reference>
          <reference field="3" count="1" selected="0">
            <x v="2"/>
          </reference>
        </references>
      </pivotArea>
    </chartFormat>
    <chartFormat chart="34"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J3:K12" firstHeaderRow="1" firstDataRow="1" firstDataCol="1"/>
  <pivotFields count="12">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umFmtId="14" showAll="0">
      <items count="15">
        <item x="0"/>
        <item x="1"/>
        <item x="2"/>
        <item x="3"/>
        <item x="4"/>
        <item x="5"/>
        <item x="6"/>
        <item x="7"/>
        <item x="8"/>
        <item x="9"/>
        <item x="10"/>
        <item x="11"/>
        <item x="12"/>
        <item x="13"/>
        <item t="default"/>
      </items>
    </pivotField>
    <pivotField showAll="0"/>
    <pivotField axis="axisRow" showAll="0">
      <items count="9">
        <item x="0"/>
        <item x="5"/>
        <item x="4"/>
        <item x="3"/>
        <item x="6"/>
        <item x="1"/>
        <item x="7"/>
        <item x="2"/>
        <item t="default"/>
      </items>
    </pivotField>
    <pivotField showAll="0">
      <items count="11">
        <item x="2"/>
        <item x="8"/>
        <item x="6"/>
        <item x="4"/>
        <item x="9"/>
        <item x="0"/>
        <item x="5"/>
        <item x="7"/>
        <item x="3"/>
        <item x="1"/>
        <item t="default"/>
      </items>
    </pivotField>
    <pivotField showAll="0">
      <items count="6">
        <item x="4"/>
        <item x="0"/>
        <item x="1"/>
        <item x="2"/>
        <item x="3"/>
        <item t="default"/>
      </items>
    </pivotField>
    <pivotField dataField="1" showAll="0"/>
    <pivotField showAll="0"/>
    <pivotField showAll="0"/>
    <pivotField showAll="0"/>
    <pivotField showAll="0"/>
    <pivotField showAll="0"/>
  </pivotFields>
  <rowFields count="1">
    <field x="3"/>
  </rowFields>
  <rowItems count="9">
    <i>
      <x/>
    </i>
    <i>
      <x v="1"/>
    </i>
    <i>
      <x v="2"/>
    </i>
    <i>
      <x v="3"/>
    </i>
    <i>
      <x v="4"/>
    </i>
    <i>
      <x v="5"/>
    </i>
    <i>
      <x v="6"/>
    </i>
    <i>
      <x v="7"/>
    </i>
    <i t="grand">
      <x/>
    </i>
  </rowItems>
  <colItems count="1">
    <i/>
  </colItems>
  <dataFields count="1">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G3:H12" firstHeaderRow="1" firstDataRow="1" firstDataCol="1"/>
  <pivotFields count="12">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umFmtId="14" showAll="0">
      <items count="15">
        <item x="0"/>
        <item x="1"/>
        <item x="2"/>
        <item x="3"/>
        <item x="4"/>
        <item x="5"/>
        <item x="6"/>
        <item x="7"/>
        <item x="8"/>
        <item x="9"/>
        <item x="10"/>
        <item x="11"/>
        <item x="12"/>
        <item x="13"/>
        <item t="default"/>
      </items>
    </pivotField>
    <pivotField showAll="0"/>
    <pivotField axis="axisRow" showAll="0">
      <items count="9">
        <item x="0"/>
        <item x="5"/>
        <item x="4"/>
        <item x="3"/>
        <item x="6"/>
        <item x="1"/>
        <item x="7"/>
        <item x="2"/>
        <item t="default"/>
      </items>
    </pivotField>
    <pivotField showAll="0">
      <items count="11">
        <item x="2"/>
        <item x="8"/>
        <item x="6"/>
        <item x="4"/>
        <item x="9"/>
        <item x="0"/>
        <item x="5"/>
        <item x="7"/>
        <item x="3"/>
        <item x="1"/>
        <item t="default"/>
      </items>
    </pivotField>
    <pivotField showAll="0">
      <items count="6">
        <item x="4"/>
        <item x="0"/>
        <item x="1"/>
        <item x="2"/>
        <item x="3"/>
        <item t="default"/>
      </items>
    </pivotField>
    <pivotField showAll="0"/>
    <pivotField showAll="0"/>
    <pivotField showAll="0"/>
    <pivotField dataField="1" showAll="0"/>
    <pivotField showAll="0"/>
    <pivotField showAll="0"/>
  </pivotFields>
  <rowFields count="1">
    <field x="3"/>
  </rowFields>
  <rowItems count="9">
    <i>
      <x/>
    </i>
    <i>
      <x v="1"/>
    </i>
    <i>
      <x v="2"/>
    </i>
    <i>
      <x v="3"/>
    </i>
    <i>
      <x v="4"/>
    </i>
    <i>
      <x v="5"/>
    </i>
    <i>
      <x v="6"/>
    </i>
    <i>
      <x v="7"/>
    </i>
    <i t="grand">
      <x/>
    </i>
  </rowItems>
  <colItems count="1">
    <i/>
  </colItems>
  <dataFields count="1">
    <dataField name="Average of Sales_Amount" fld="9"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3:E12" firstHeaderRow="1" firstDataRow="1" firstDataCol="1"/>
  <pivotFields count="12">
    <pivotField dataField="1"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umFmtId="14" showAll="0">
      <items count="15">
        <item x="0"/>
        <item x="1"/>
        <item x="2"/>
        <item x="3"/>
        <item x="4"/>
        <item x="5"/>
        <item x="6"/>
        <item x="7"/>
        <item x="8"/>
        <item x="9"/>
        <item x="10"/>
        <item x="11"/>
        <item x="12"/>
        <item x="13"/>
        <item t="default"/>
      </items>
    </pivotField>
    <pivotField showAll="0"/>
    <pivotField axis="axisRow" showAll="0">
      <items count="9">
        <item x="0"/>
        <item x="5"/>
        <item x="4"/>
        <item x="3"/>
        <item x="6"/>
        <item x="1"/>
        <item x="7"/>
        <item x="2"/>
        <item t="default"/>
      </items>
    </pivotField>
    <pivotField showAll="0">
      <items count="11">
        <item x="2"/>
        <item x="8"/>
        <item x="6"/>
        <item x="4"/>
        <item x="9"/>
        <item x="0"/>
        <item x="5"/>
        <item x="7"/>
        <item x="3"/>
        <item x="1"/>
        <item t="default"/>
      </items>
    </pivotField>
    <pivotField showAll="0">
      <items count="6">
        <item x="4"/>
        <item x="0"/>
        <item x="1"/>
        <item x="2"/>
        <item x="3"/>
        <item t="default"/>
      </items>
    </pivotField>
    <pivotField showAll="0"/>
    <pivotField showAll="0"/>
    <pivotField showAll="0"/>
    <pivotField showAll="0"/>
    <pivotField showAll="0"/>
    <pivotField showAll="0"/>
  </pivotFields>
  <rowFields count="1">
    <field x="3"/>
  </rowFields>
  <rowItems count="9">
    <i>
      <x/>
    </i>
    <i>
      <x v="1"/>
    </i>
    <i>
      <x v="2"/>
    </i>
    <i>
      <x v="3"/>
    </i>
    <i>
      <x v="4"/>
    </i>
    <i>
      <x v="5"/>
    </i>
    <i>
      <x v="6"/>
    </i>
    <i>
      <x v="7"/>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J3:K7" firstHeaderRow="1" firstDataRow="1" firstDataCol="1"/>
  <pivotFields count="12">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umFmtId="14" showAll="0">
      <items count="15">
        <item x="0"/>
        <item x="1"/>
        <item x="2"/>
        <item x="3"/>
        <item x="4"/>
        <item x="5"/>
        <item x="6"/>
        <item x="7"/>
        <item x="8"/>
        <item x="9"/>
        <item x="10"/>
        <item x="11"/>
        <item x="12"/>
        <item x="13"/>
        <item t="default"/>
      </items>
    </pivotField>
    <pivotField showAll="0"/>
    <pivotField showAll="0">
      <items count="9">
        <item x="0"/>
        <item x="5"/>
        <item x="4"/>
        <item x="3"/>
        <item x="6"/>
        <item x="1"/>
        <item x="7"/>
        <item x="2"/>
        <item t="default"/>
      </items>
    </pivotField>
    <pivotField showAll="0">
      <items count="11">
        <item x="2"/>
        <item x="8"/>
        <item x="6"/>
        <item x="4"/>
        <item x="9"/>
        <item x="0"/>
        <item x="5"/>
        <item x="7"/>
        <item x="3"/>
        <item x="1"/>
        <item t="default"/>
      </items>
    </pivotField>
    <pivotField showAll="0">
      <items count="6">
        <item x="4"/>
        <item x="0"/>
        <item x="1"/>
        <item x="2"/>
        <item x="3"/>
        <item t="default"/>
      </items>
    </pivotField>
    <pivotField showAll="0"/>
    <pivotField showAll="0"/>
    <pivotField showAll="0"/>
    <pivotField dataField="1" showAll="0"/>
    <pivotField showAll="0">
      <items count="5">
        <item x="1"/>
        <item x="2"/>
        <item x="3"/>
        <item x="0"/>
        <item t="default"/>
      </items>
    </pivotField>
    <pivotField axis="axisRow" showAll="0">
      <items count="4">
        <item x="0"/>
        <item x="1"/>
        <item x="2"/>
        <item t="default"/>
      </items>
    </pivotField>
  </pivotFields>
  <rowFields count="1">
    <field x="11"/>
  </rowFields>
  <rowItems count="4">
    <i>
      <x/>
    </i>
    <i>
      <x v="1"/>
    </i>
    <i>
      <x v="2"/>
    </i>
    <i t="grand">
      <x/>
    </i>
  </rowItems>
  <colItems count="1">
    <i/>
  </colItems>
  <dataFields count="1">
    <dataField name="Sum of Sales_Amount" fld="9" baseField="0" baseItem="0"/>
  </dataFields>
  <chartFormats count="12">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1" count="1" selected="0">
            <x v="0"/>
          </reference>
        </references>
      </pivotArea>
    </chartFormat>
    <chartFormat chart="5" format="2">
      <pivotArea type="data" outline="0" fieldPosition="0">
        <references count="2">
          <reference field="4294967294" count="1" selected="0">
            <x v="0"/>
          </reference>
          <reference field="11" count="1" selected="0">
            <x v="2"/>
          </reference>
        </references>
      </pivotArea>
    </chartFormat>
    <chartFormat chart="5" format="3">
      <pivotArea type="data" outline="0" fieldPosition="0">
        <references count="2">
          <reference field="4294967294" count="1" selected="0">
            <x v="0"/>
          </reference>
          <reference field="11"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1" count="1" selected="0">
            <x v="0"/>
          </reference>
        </references>
      </pivotArea>
    </chartFormat>
    <chartFormat chart="7" format="6">
      <pivotArea type="data" outline="0" fieldPosition="0">
        <references count="2">
          <reference field="4294967294" count="1" selected="0">
            <x v="0"/>
          </reference>
          <reference field="11" count="1" selected="0">
            <x v="1"/>
          </reference>
        </references>
      </pivotArea>
    </chartFormat>
    <chartFormat chart="7" format="7">
      <pivotArea type="data" outline="0" fieldPosition="0">
        <references count="2">
          <reference field="4294967294" count="1" selected="0">
            <x v="0"/>
          </reference>
          <reference field="11"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1" count="1" selected="0">
            <x v="0"/>
          </reference>
        </references>
      </pivotArea>
    </chartFormat>
    <chartFormat chart="8" format="10">
      <pivotArea type="data" outline="0" fieldPosition="0">
        <references count="2">
          <reference field="4294967294" count="1" selected="0">
            <x v="0"/>
          </reference>
          <reference field="11" count="1" selected="0">
            <x v="1"/>
          </reference>
        </references>
      </pivotArea>
    </chartFormat>
    <chartFormat chart="8"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3:H13" firstHeaderRow="1" firstDataRow="2" firstDataCol="1"/>
  <pivotFields count="12">
    <pivotField dataField="1"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umFmtId="14" showAll="0">
      <items count="15">
        <item x="0"/>
        <item x="1"/>
        <item x="2"/>
        <item x="3"/>
        <item x="4"/>
        <item x="5"/>
        <item x="6"/>
        <item x="7"/>
        <item x="8"/>
        <item x="9"/>
        <item x="10"/>
        <item x="11"/>
        <item x="12"/>
        <item x="13"/>
        <item t="default"/>
      </items>
    </pivotField>
    <pivotField showAll="0"/>
    <pivotField axis="axisRow" showAll="0">
      <items count="9">
        <item x="0"/>
        <item x="5"/>
        <item x="4"/>
        <item x="3"/>
        <item x="6"/>
        <item x="1"/>
        <item x="7"/>
        <item x="2"/>
        <item t="default"/>
      </items>
    </pivotField>
    <pivotField showAll="0">
      <items count="11">
        <item x="2"/>
        <item x="8"/>
        <item x="6"/>
        <item x="4"/>
        <item x="9"/>
        <item x="0"/>
        <item x="5"/>
        <item x="7"/>
        <item x="3"/>
        <item x="1"/>
        <item t="default"/>
      </items>
    </pivotField>
    <pivotField showAll="0">
      <items count="6">
        <item x="4"/>
        <item x="0"/>
        <item x="1"/>
        <item x="2"/>
        <item x="3"/>
        <item t="default"/>
      </items>
    </pivotField>
    <pivotField showAll="0"/>
    <pivotField showAll="0"/>
    <pivotField showAll="0"/>
    <pivotField showAll="0"/>
    <pivotField showAll="0">
      <items count="5">
        <item x="1"/>
        <item x="2"/>
        <item x="3"/>
        <item x="0"/>
        <item t="default"/>
      </items>
    </pivotField>
    <pivotField axis="axisCol" showAll="0">
      <items count="4">
        <item x="0"/>
        <item x="1"/>
        <item x="2"/>
        <item t="default"/>
      </items>
    </pivotField>
  </pivotFields>
  <rowFields count="1">
    <field x="3"/>
  </rowFields>
  <rowItems count="9">
    <i>
      <x/>
    </i>
    <i>
      <x v="1"/>
    </i>
    <i>
      <x v="2"/>
    </i>
    <i>
      <x v="3"/>
    </i>
    <i>
      <x v="4"/>
    </i>
    <i>
      <x v="5"/>
    </i>
    <i>
      <x v="6"/>
    </i>
    <i>
      <x v="7"/>
    </i>
    <i t="grand">
      <x/>
    </i>
  </rowItems>
  <colFields count="1">
    <field x="11"/>
  </colFields>
  <colItems count="4">
    <i>
      <x/>
    </i>
    <i>
      <x v="1"/>
    </i>
    <i>
      <x v="2"/>
    </i>
    <i t="grand">
      <x/>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7" firstHeaderRow="1" firstDataRow="1" firstDataCol="1"/>
  <pivotFields count="12">
    <pivotField dataField="1"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umFmtId="14" showAll="0">
      <items count="15">
        <item x="0"/>
        <item x="1"/>
        <item x="2"/>
        <item x="3"/>
        <item x="4"/>
        <item x="5"/>
        <item x="6"/>
        <item x="7"/>
        <item x="8"/>
        <item x="9"/>
        <item x="10"/>
        <item x="11"/>
        <item x="12"/>
        <item x="13"/>
        <item t="default"/>
      </items>
    </pivotField>
    <pivotField showAll="0"/>
    <pivotField showAll="0">
      <items count="9">
        <item x="0"/>
        <item x="5"/>
        <item x="4"/>
        <item x="3"/>
        <item x="6"/>
        <item x="1"/>
        <item x="7"/>
        <item x="2"/>
        <item t="default"/>
      </items>
    </pivotField>
    <pivotField showAll="0">
      <items count="11">
        <item x="2"/>
        <item x="8"/>
        <item x="6"/>
        <item x="4"/>
        <item x="9"/>
        <item x="0"/>
        <item x="5"/>
        <item x="7"/>
        <item x="3"/>
        <item x="1"/>
        <item t="default"/>
      </items>
    </pivotField>
    <pivotField showAll="0">
      <items count="6">
        <item x="4"/>
        <item x="0"/>
        <item x="1"/>
        <item x="2"/>
        <item x="3"/>
        <item t="default"/>
      </items>
    </pivotField>
    <pivotField showAll="0"/>
    <pivotField showAll="0"/>
    <pivotField showAll="0"/>
    <pivotField showAll="0"/>
    <pivotField showAll="0">
      <items count="5">
        <item x="1"/>
        <item x="2"/>
        <item x="3"/>
        <item x="0"/>
        <item t="default"/>
      </items>
    </pivotField>
    <pivotField axis="axisRow" showAll="0">
      <items count="4">
        <item x="0"/>
        <item x="1"/>
        <item x="2"/>
        <item t="default"/>
      </items>
    </pivotField>
  </pivotFields>
  <rowFields count="1">
    <field x="11"/>
  </rowFields>
  <rowItems count="4">
    <i>
      <x/>
    </i>
    <i>
      <x v="1"/>
    </i>
    <i>
      <x v="2"/>
    </i>
    <i t="grand">
      <x/>
    </i>
  </rowItems>
  <colItems count="1">
    <i/>
  </colItems>
  <dataFields count="1">
    <dataField name="Count of Order_ID" fld="0" subtotal="count"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8" firstHeaderRow="1" firstDataRow="1" firstDataCol="1"/>
  <pivotFields count="12">
    <pivotField dataField="1"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umFmtId="14" showAll="0">
      <items count="15">
        <item x="0"/>
        <item x="1"/>
        <item x="2"/>
        <item x="3"/>
        <item x="4"/>
        <item x="5"/>
        <item x="6"/>
        <item x="7"/>
        <item x="8"/>
        <item x="9"/>
        <item x="10"/>
        <item x="11"/>
        <item x="12"/>
        <item x="13"/>
        <item t="default"/>
      </items>
    </pivotField>
    <pivotField showAll="0"/>
    <pivotField showAll="0">
      <items count="9">
        <item x="0"/>
        <item x="5"/>
        <item x="4"/>
        <item x="3"/>
        <item x="6"/>
        <item x="1"/>
        <item x="7"/>
        <item x="2"/>
        <item t="default"/>
      </items>
    </pivotField>
    <pivotField showAll="0">
      <items count="11">
        <item x="2"/>
        <item x="8"/>
        <item x="6"/>
        <item x="4"/>
        <item x="9"/>
        <item x="0"/>
        <item x="5"/>
        <item x="7"/>
        <item x="3"/>
        <item x="1"/>
        <item t="default"/>
      </items>
    </pivotField>
    <pivotField showAll="0">
      <items count="6">
        <item x="4"/>
        <item x="0"/>
        <item x="1"/>
        <item x="2"/>
        <item x="3"/>
        <item t="default"/>
      </items>
    </pivotField>
    <pivotField showAll="0"/>
    <pivotField showAll="0"/>
    <pivotField showAll="0"/>
    <pivotField showAll="0"/>
    <pivotField axis="axisRow" showAll="0">
      <items count="5">
        <item x="1"/>
        <item x="2"/>
        <item x="3"/>
        <item x="0"/>
        <item t="default"/>
      </items>
    </pivotField>
    <pivotField showAll="0"/>
  </pivotFields>
  <rowFields count="1">
    <field x="10"/>
  </rowFields>
  <rowItems count="5">
    <i>
      <x/>
    </i>
    <i>
      <x v="1"/>
    </i>
    <i>
      <x v="2"/>
    </i>
    <i>
      <x v="3"/>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1">
  <location ref="D3:E8" firstHeaderRow="1" firstDataRow="1" firstDataCol="1"/>
  <pivotFields count="12">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umFmtId="14" showAll="0">
      <items count="15">
        <item x="0"/>
        <item x="1"/>
        <item x="2"/>
        <item x="3"/>
        <item x="4"/>
        <item x="5"/>
        <item x="6"/>
        <item x="7"/>
        <item x="8"/>
        <item x="9"/>
        <item x="10"/>
        <item x="11"/>
        <item x="12"/>
        <item x="13"/>
        <item t="default"/>
      </items>
    </pivotField>
    <pivotField showAll="0"/>
    <pivotField showAll="0">
      <items count="9">
        <item x="0"/>
        <item x="5"/>
        <item x="4"/>
        <item x="3"/>
        <item x="6"/>
        <item x="1"/>
        <item x="7"/>
        <item x="2"/>
        <item t="default"/>
      </items>
    </pivotField>
    <pivotField showAll="0">
      <items count="11">
        <item x="2"/>
        <item x="8"/>
        <item x="6"/>
        <item x="4"/>
        <item x="9"/>
        <item x="0"/>
        <item x="5"/>
        <item x="7"/>
        <item x="3"/>
        <item x="1"/>
        <item t="default"/>
      </items>
    </pivotField>
    <pivotField showAll="0">
      <items count="6">
        <item x="4"/>
        <item x="0"/>
        <item x="1"/>
        <item x="2"/>
        <item x="3"/>
        <item t="default"/>
      </items>
    </pivotField>
    <pivotField showAll="0"/>
    <pivotField showAll="0"/>
    <pivotField showAll="0"/>
    <pivotField dataField="1" showAll="0"/>
    <pivotField axis="axisRow" showAll="0">
      <items count="5">
        <item x="1"/>
        <item x="2"/>
        <item x="3"/>
        <item x="0"/>
        <item t="default"/>
      </items>
    </pivotField>
    <pivotField showAll="0"/>
  </pivotFields>
  <rowFields count="1">
    <field x="10"/>
  </rowFields>
  <rowItems count="5">
    <i>
      <x/>
    </i>
    <i>
      <x v="1"/>
    </i>
    <i>
      <x v="2"/>
    </i>
    <i>
      <x v="3"/>
    </i>
    <i t="grand">
      <x/>
    </i>
  </rowItems>
  <colItems count="1">
    <i/>
  </colItems>
  <dataFields count="1">
    <dataField name="Sum of Sales_Amount" fld="9" baseField="0" baseItem="0"/>
  </dataFields>
  <chartFormats count="10">
    <chartFormat chart="4"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0" count="1" selected="0">
            <x v="0"/>
          </reference>
        </references>
      </pivotArea>
    </chartFormat>
    <chartFormat chart="8" format="8">
      <pivotArea type="data" outline="0" fieldPosition="0">
        <references count="2">
          <reference field="4294967294" count="1" selected="0">
            <x v="0"/>
          </reference>
          <reference field="10" count="1" selected="0">
            <x v="1"/>
          </reference>
        </references>
      </pivotArea>
    </chartFormat>
    <chartFormat chart="8" format="9">
      <pivotArea type="data" outline="0" fieldPosition="0">
        <references count="2">
          <reference field="4294967294" count="1" selected="0">
            <x v="0"/>
          </reference>
          <reference field="10" count="1" selected="0">
            <x v="2"/>
          </reference>
        </references>
      </pivotArea>
    </chartFormat>
    <chartFormat chart="8" format="10">
      <pivotArea type="data" outline="0" fieldPosition="0">
        <references count="2">
          <reference field="4294967294" count="1" selected="0">
            <x v="0"/>
          </reference>
          <reference field="10" count="1" selected="0">
            <x v="3"/>
          </reference>
        </references>
      </pivotArea>
    </chartFormat>
    <chartFormat chart="4" format="1">
      <pivotArea type="data" outline="0" fieldPosition="0">
        <references count="2">
          <reference field="4294967294" count="1" selected="0">
            <x v="0"/>
          </reference>
          <reference field="10" count="1" selected="0">
            <x v="0"/>
          </reference>
        </references>
      </pivotArea>
    </chartFormat>
    <chartFormat chart="4" format="2">
      <pivotArea type="data" outline="0" fieldPosition="0">
        <references count="2">
          <reference field="4294967294" count="1" selected="0">
            <x v="0"/>
          </reference>
          <reference field="10" count="1" selected="0">
            <x v="1"/>
          </reference>
        </references>
      </pivotArea>
    </chartFormat>
    <chartFormat chart="4" format="3">
      <pivotArea type="data" outline="0" fieldPosition="0">
        <references count="2">
          <reference field="4294967294" count="1" selected="0">
            <x v="0"/>
          </reference>
          <reference field="10" count="1" selected="0">
            <x v="2"/>
          </reference>
        </references>
      </pivotArea>
    </chartFormat>
    <chartFormat chart="4" format="4">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1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J3:K5" firstHeaderRow="1" firstDataRow="1" firstDataCol="1"/>
  <pivotFields count="12">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umFmtId="14" showAll="0">
      <items count="15">
        <item x="0"/>
        <item x="1"/>
        <item x="2"/>
        <item x="3"/>
        <item x="4"/>
        <item x="5"/>
        <item x="6"/>
        <item x="7"/>
        <item x="8"/>
        <item x="9"/>
        <item x="10"/>
        <item x="11"/>
        <item x="12"/>
        <item x="13"/>
        <item t="default"/>
      </items>
    </pivotField>
    <pivotField showAll="0"/>
    <pivotField showAll="0">
      <items count="9">
        <item x="0"/>
        <item x="5"/>
        <item x="4"/>
        <item x="3"/>
        <item x="6"/>
        <item x="1"/>
        <item x="7"/>
        <item x="2"/>
        <item t="default"/>
      </items>
    </pivotField>
    <pivotField axis="axisRow" showAll="0" measureFilter="1">
      <items count="11">
        <item x="2"/>
        <item x="8"/>
        <item x="6"/>
        <item x="4"/>
        <item x="9"/>
        <item x="0"/>
        <item x="5"/>
        <item x="7"/>
        <item x="3"/>
        <item x="1"/>
        <item t="default"/>
      </items>
    </pivotField>
    <pivotField showAll="0">
      <items count="6">
        <item x="4"/>
        <item x="0"/>
        <item x="1"/>
        <item x="2"/>
        <item x="3"/>
        <item t="default"/>
      </items>
    </pivotField>
    <pivotField showAll="0"/>
    <pivotField showAll="0"/>
    <pivotField dataField="1" showAll="0"/>
    <pivotField showAll="0"/>
    <pivotField showAll="0">
      <items count="5">
        <item x="1"/>
        <item x="2"/>
        <item x="3"/>
        <item x="0"/>
        <item t="default"/>
      </items>
    </pivotField>
    <pivotField showAll="0"/>
  </pivotFields>
  <rowFields count="1">
    <field x="4"/>
  </rowFields>
  <rowItems count="2">
    <i>
      <x v="7"/>
    </i>
    <i t="grand">
      <x/>
    </i>
  </rowItems>
  <colItems count="1">
    <i/>
  </colItems>
  <dataFields count="1">
    <dataField name="Sum of Discount_%" fld="8" baseField="4" baseItem="0"/>
  </dataFields>
  <pivotTableStyleInfo name="PivotStyleLight16" showRowHeaders="1" showColHeaders="1" showRowStripes="0" showColStripes="0" showLastColumn="1"/>
  <filters count="1">
    <filter fld="4"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E3:F4" firstHeaderRow="0" firstDataRow="1" firstDataCol="0"/>
  <pivotFields count="12">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umFmtId="14" showAll="0">
      <items count="15">
        <item x="0"/>
        <item x="1"/>
        <item x="2"/>
        <item x="3"/>
        <item x="4"/>
        <item x="5"/>
        <item x="6"/>
        <item x="7"/>
        <item x="8"/>
        <item x="9"/>
        <item x="10"/>
        <item x="11"/>
        <item x="12"/>
        <item x="13"/>
        <item t="default"/>
      </items>
    </pivotField>
    <pivotField showAll="0"/>
    <pivotField showAll="0">
      <items count="9">
        <item x="0"/>
        <item x="5"/>
        <item x="4"/>
        <item x="3"/>
        <item x="6"/>
        <item x="1"/>
        <item x="7"/>
        <item x="2"/>
        <item t="default"/>
      </items>
    </pivotField>
    <pivotField showAll="0">
      <items count="11">
        <item x="2"/>
        <item x="8"/>
        <item x="6"/>
        <item x="4"/>
        <item x="9"/>
        <item x="0"/>
        <item x="5"/>
        <item x="7"/>
        <item x="3"/>
        <item x="1"/>
        <item t="default"/>
      </items>
    </pivotField>
    <pivotField showAll="0">
      <items count="6">
        <item x="4"/>
        <item x="0"/>
        <item x="1"/>
        <item x="2"/>
        <item x="3"/>
        <item t="default"/>
      </items>
    </pivotField>
    <pivotField showAll="0"/>
    <pivotField showAll="0"/>
    <pivotField dataField="1" showAll="0"/>
    <pivotField dataField="1" showAll="0"/>
    <pivotField showAll="0">
      <items count="5">
        <item x="1"/>
        <item x="2"/>
        <item x="3"/>
        <item x="0"/>
        <item t="default"/>
      </items>
    </pivotField>
    <pivotField showAll="0"/>
  </pivotFields>
  <rowItems count="1">
    <i/>
  </rowItems>
  <colFields count="1">
    <field x="-2"/>
  </colFields>
  <colItems count="2">
    <i>
      <x/>
    </i>
    <i i="1">
      <x v="1"/>
    </i>
  </colItems>
  <dataFields count="2">
    <dataField name="Sum of Discount_%" fld="8" baseField="0" baseItem="1"/>
    <dataField name="Sum of Sales_Amount" fld="9"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9" firstHeaderRow="1" firstDataRow="1" firstDataCol="1"/>
  <pivotFields count="12">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umFmtId="14" showAll="0">
      <items count="15">
        <item x="0"/>
        <item x="1"/>
        <item x="2"/>
        <item x="3"/>
        <item x="4"/>
        <item x="5"/>
        <item x="6"/>
        <item x="7"/>
        <item x="8"/>
        <item x="9"/>
        <item x="10"/>
        <item x="11"/>
        <item x="12"/>
        <item x="13"/>
        <item t="default"/>
      </items>
    </pivotField>
    <pivotField showAll="0"/>
    <pivotField showAll="0">
      <items count="9">
        <item x="0"/>
        <item x="5"/>
        <item x="4"/>
        <item x="3"/>
        <item x="6"/>
        <item x="1"/>
        <item x="7"/>
        <item x="2"/>
        <item t="default"/>
      </items>
    </pivotField>
    <pivotField showAll="0">
      <items count="11">
        <item x="2"/>
        <item x="8"/>
        <item x="6"/>
        <item x="4"/>
        <item x="9"/>
        <item x="0"/>
        <item x="5"/>
        <item x="7"/>
        <item x="3"/>
        <item x="1"/>
        <item t="default"/>
      </items>
    </pivotField>
    <pivotField axis="axisRow" showAll="0">
      <items count="6">
        <item x="4"/>
        <item x="0"/>
        <item x="1"/>
        <item x="2"/>
        <item x="3"/>
        <item t="default"/>
      </items>
    </pivotField>
    <pivotField showAll="0"/>
    <pivotField showAll="0"/>
    <pivotField dataField="1" showAll="0"/>
    <pivotField showAll="0"/>
    <pivotField showAll="0">
      <items count="5">
        <item x="1"/>
        <item x="2"/>
        <item x="3"/>
        <item x="0"/>
        <item t="default"/>
      </items>
    </pivotField>
    <pivotField showAll="0"/>
  </pivotFields>
  <rowFields count="1">
    <field x="5"/>
  </rowFields>
  <rowItems count="6">
    <i>
      <x/>
    </i>
    <i>
      <x v="1"/>
    </i>
    <i>
      <x v="2"/>
    </i>
    <i>
      <x v="3"/>
    </i>
    <i>
      <x v="4"/>
    </i>
    <i t="grand">
      <x/>
    </i>
  </rowItems>
  <colItems count="1">
    <i/>
  </colItems>
  <dataFields count="1">
    <dataField name="Average of Discount_%" fld="8"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1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L3:M16" firstHeaderRow="1" firstDataRow="1" firstDataCol="1"/>
  <pivotFields count="12">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axis="axisRow" numFmtId="14" showAll="0">
      <items count="15">
        <item x="0"/>
        <item x="1"/>
        <item x="2"/>
        <item x="3"/>
        <item x="4"/>
        <item x="5"/>
        <item x="6"/>
        <item x="7"/>
        <item x="8"/>
        <item x="9"/>
        <item x="10"/>
        <item x="11"/>
        <item x="12"/>
        <item x="13"/>
        <item t="default"/>
      </items>
    </pivotField>
    <pivotField showAll="0"/>
    <pivotField showAll="0">
      <items count="9">
        <item x="0"/>
        <item x="5"/>
        <item x="4"/>
        <item x="3"/>
        <item x="6"/>
        <item x="1"/>
        <item x="7"/>
        <item x="2"/>
        <item t="default"/>
      </items>
    </pivotField>
    <pivotField showAll="0">
      <items count="11">
        <item x="2"/>
        <item x="8"/>
        <item x="6"/>
        <item x="4"/>
        <item x="9"/>
        <item x="0"/>
        <item x="5"/>
        <item x="7"/>
        <item x="3"/>
        <item x="1"/>
        <item t="default"/>
      </items>
    </pivotField>
    <pivotField showAll="0">
      <items count="6">
        <item x="4"/>
        <item x="0"/>
        <item x="1"/>
        <item x="2"/>
        <item x="3"/>
        <item t="default"/>
      </items>
    </pivotField>
    <pivotField dataField="1" showAll="0"/>
    <pivotField showAll="0"/>
    <pivotField showAll="0"/>
    <pivotField showAll="0"/>
    <pivotField showAll="0">
      <items count="5">
        <item x="1"/>
        <item x="2"/>
        <item x="3"/>
        <item x="0"/>
        <item t="default"/>
      </items>
    </pivotField>
    <pivotField showAll="0"/>
  </pivotFields>
  <rowFields count="1">
    <field x="1"/>
  </rowFields>
  <rowItems count="13">
    <i>
      <x v="1"/>
    </i>
    <i>
      <x v="2"/>
    </i>
    <i>
      <x v="3"/>
    </i>
    <i>
      <x v="4"/>
    </i>
    <i>
      <x v="5"/>
    </i>
    <i>
      <x v="6"/>
    </i>
    <i>
      <x v="7"/>
    </i>
    <i>
      <x v="8"/>
    </i>
    <i>
      <x v="9"/>
    </i>
    <i>
      <x v="10"/>
    </i>
    <i>
      <x v="11"/>
    </i>
    <i>
      <x v="12"/>
    </i>
    <i t="grand">
      <x/>
    </i>
  </rowItems>
  <colItems count="1">
    <i/>
  </colItems>
  <dataFields count="1">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PivotTable1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9">
  <location ref="A3:B16" firstHeaderRow="1" firstDataRow="1" firstDataCol="1"/>
  <pivotFields count="12">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axis="axisRow" numFmtId="14" showAll="0">
      <items count="15">
        <item x="0"/>
        <item x="1"/>
        <item x="2"/>
        <item x="3"/>
        <item x="4"/>
        <item x="5"/>
        <item x="6"/>
        <item x="7"/>
        <item x="8"/>
        <item x="9"/>
        <item x="10"/>
        <item x="11"/>
        <item x="12"/>
        <item x="13"/>
        <item t="default"/>
      </items>
    </pivotField>
    <pivotField showAll="0"/>
    <pivotField showAll="0">
      <items count="9">
        <item x="0"/>
        <item x="5"/>
        <item x="4"/>
        <item x="3"/>
        <item x="6"/>
        <item x="1"/>
        <item x="7"/>
        <item x="2"/>
        <item t="default"/>
      </items>
    </pivotField>
    <pivotField showAll="0">
      <items count="11">
        <item x="2"/>
        <item x="8"/>
        <item x="6"/>
        <item x="4"/>
        <item x="9"/>
        <item x="0"/>
        <item x="5"/>
        <item x="7"/>
        <item x="3"/>
        <item x="1"/>
        <item t="default"/>
      </items>
    </pivotField>
    <pivotField showAll="0">
      <items count="6">
        <item x="4"/>
        <item x="0"/>
        <item x="1"/>
        <item x="2"/>
        <item x="3"/>
        <item t="default"/>
      </items>
    </pivotField>
    <pivotField showAll="0"/>
    <pivotField showAll="0"/>
    <pivotField showAll="0"/>
    <pivotField dataField="1" showAll="0"/>
    <pivotField showAll="0">
      <items count="5">
        <item x="1"/>
        <item x="2"/>
        <item x="3"/>
        <item x="0"/>
        <item t="default"/>
      </items>
    </pivotField>
    <pivotField showAll="0"/>
  </pivotFields>
  <rowFields count="1">
    <field x="1"/>
  </rowFields>
  <rowItems count="13">
    <i>
      <x v="1"/>
    </i>
    <i>
      <x v="2"/>
    </i>
    <i>
      <x v="3"/>
    </i>
    <i>
      <x v="4"/>
    </i>
    <i>
      <x v="5"/>
    </i>
    <i>
      <x v="6"/>
    </i>
    <i>
      <x v="7"/>
    </i>
    <i>
      <x v="8"/>
    </i>
    <i>
      <x v="9"/>
    </i>
    <i>
      <x v="10"/>
    </i>
    <i>
      <x v="11"/>
    </i>
    <i>
      <x v="12"/>
    </i>
    <i t="grand">
      <x/>
    </i>
  </rowItems>
  <colItems count="1">
    <i/>
  </colItems>
  <dataFields count="1">
    <dataField name="Sum of Sales_Amount" fld="9" baseField="0" baseItem="0"/>
  </dataFields>
  <chartFormats count="3">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PivotTable2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K19:L32" firstHeaderRow="1" firstDataRow="1" firstDataCol="1"/>
  <pivotFields count="12">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axis="axisRow" numFmtId="14" showAll="0" sortType="descending">
      <items count="15">
        <item x="13"/>
        <item x="0"/>
        <item x="12"/>
        <item x="11"/>
        <item x="10"/>
        <item x="9"/>
        <item x="8"/>
        <item x="7"/>
        <item x="6"/>
        <item x="5"/>
        <item x="4"/>
        <item x="3"/>
        <item x="2"/>
        <item x="1"/>
        <item t="default"/>
      </items>
      <autoSortScope>
        <pivotArea dataOnly="0" outline="0" fieldPosition="0">
          <references count="1">
            <reference field="4294967294" count="1" selected="0">
              <x v="0"/>
            </reference>
          </references>
        </pivotArea>
      </autoSortScope>
    </pivotField>
    <pivotField showAll="0"/>
    <pivotField showAll="0">
      <items count="9">
        <item x="0"/>
        <item x="5"/>
        <item x="4"/>
        <item x="3"/>
        <item x="6"/>
        <item x="1"/>
        <item x="7"/>
        <item x="2"/>
        <item t="default"/>
      </items>
    </pivotField>
    <pivotField showAll="0">
      <items count="11">
        <item x="2"/>
        <item x="8"/>
        <item x="6"/>
        <item x="4"/>
        <item x="9"/>
        <item x="0"/>
        <item x="5"/>
        <item x="7"/>
        <item x="3"/>
        <item x="1"/>
        <item t="default"/>
      </items>
    </pivotField>
    <pivotField showAll="0">
      <items count="6">
        <item x="4"/>
        <item x="0"/>
        <item x="1"/>
        <item x="2"/>
        <item x="3"/>
        <item t="default"/>
      </items>
    </pivotField>
    <pivotField showAll="0"/>
    <pivotField showAll="0"/>
    <pivotField showAll="0"/>
    <pivotField dataField="1" showAll="0"/>
    <pivotField showAll="0">
      <items count="5">
        <item x="1"/>
        <item x="2"/>
        <item x="3"/>
        <item x="0"/>
        <item t="default"/>
      </items>
    </pivotField>
    <pivotField showAll="0"/>
  </pivotFields>
  <rowFields count="1">
    <field x="1"/>
  </rowFields>
  <rowItems count="13">
    <i>
      <x v="4"/>
    </i>
    <i>
      <x v="2"/>
    </i>
    <i>
      <x v="3"/>
    </i>
    <i>
      <x v="11"/>
    </i>
    <i>
      <x v="9"/>
    </i>
    <i>
      <x v="7"/>
    </i>
    <i>
      <x v="5"/>
    </i>
    <i>
      <x v="8"/>
    </i>
    <i>
      <x v="12"/>
    </i>
    <i>
      <x v="6"/>
    </i>
    <i>
      <x v="13"/>
    </i>
    <i>
      <x v="10"/>
    </i>
    <i t="grand">
      <x/>
    </i>
  </rowItems>
  <colItems count="1">
    <i/>
  </colItems>
  <dataFields count="1">
    <dataField name="Sum of Sales_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0.xml><?xml version="1.0" encoding="utf-8"?>
<pivotTableDefinition xmlns="http://schemas.openxmlformats.org/spreadsheetml/2006/main" name="PivotTable20"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E19:F32" firstHeaderRow="1" firstDataRow="1" firstDataCol="1"/>
  <pivotFields count="12">
    <pivotField dataField="1"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axis="axisRow" numFmtId="14" showAll="0">
      <items count="15">
        <item x="0"/>
        <item x="1"/>
        <item x="2"/>
        <item x="3"/>
        <item x="4"/>
        <item x="5"/>
        <item x="6"/>
        <item x="7"/>
        <item x="8"/>
        <item x="9"/>
        <item x="10"/>
        <item x="11"/>
        <item x="12"/>
        <item x="13"/>
        <item t="default"/>
      </items>
    </pivotField>
    <pivotField showAll="0"/>
    <pivotField showAll="0">
      <items count="9">
        <item x="0"/>
        <item x="5"/>
        <item x="4"/>
        <item x="3"/>
        <item x="6"/>
        <item x="1"/>
        <item x="7"/>
        <item x="2"/>
        <item t="default"/>
      </items>
    </pivotField>
    <pivotField showAll="0">
      <items count="11">
        <item x="2"/>
        <item x="8"/>
        <item x="6"/>
        <item x="4"/>
        <item x="9"/>
        <item x="0"/>
        <item x="5"/>
        <item x="7"/>
        <item x="3"/>
        <item x="1"/>
        <item t="default"/>
      </items>
    </pivotField>
    <pivotField showAll="0">
      <items count="6">
        <item x="4"/>
        <item x="0"/>
        <item x="1"/>
        <item x="2"/>
        <item x="3"/>
        <item t="default"/>
      </items>
    </pivotField>
    <pivotField showAll="0"/>
    <pivotField showAll="0"/>
    <pivotField showAll="0"/>
    <pivotField showAll="0"/>
    <pivotField showAll="0">
      <items count="5">
        <item x="1"/>
        <item x="2"/>
        <item x="3"/>
        <item x="0"/>
        <item t="default"/>
      </items>
    </pivotField>
    <pivotField showAll="0"/>
  </pivotFields>
  <rowFields count="1">
    <field x="1"/>
  </rowFields>
  <rowItems count="13">
    <i>
      <x v="1"/>
    </i>
    <i>
      <x v="2"/>
    </i>
    <i>
      <x v="3"/>
    </i>
    <i>
      <x v="4"/>
    </i>
    <i>
      <x v="5"/>
    </i>
    <i>
      <x v="6"/>
    </i>
    <i>
      <x v="7"/>
    </i>
    <i>
      <x v="8"/>
    </i>
    <i>
      <x v="9"/>
    </i>
    <i>
      <x v="10"/>
    </i>
    <i>
      <x v="11"/>
    </i>
    <i>
      <x v="12"/>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ty1" sourceName="City">
  <pivotTables>
    <pivotTable tabId="5" name="PivotTable6"/>
  </pivotTables>
  <data>
    <tabular pivotCacheId="1">
      <items count="8">
        <i x="0" s="1"/>
        <i x="5" s="1"/>
        <i x="4" s="1"/>
        <i x="3" s="1"/>
        <i x="6" s="1"/>
        <i x="1" s="1"/>
        <i x="7"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1" sourceName="Category">
  <pivotTables>
    <pivotTable tabId="4" name="PivotTable1"/>
  </pivotTables>
  <data>
    <tabular pivotCacheId="1">
      <items count="5">
        <i x="4" s="1"/>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elivery_Status1" sourceName="Delivery_Status">
  <pivotTables>
    <pivotTable tabId="7" name="PivotTable14"/>
  </pivotTables>
  <data>
    <tabular pivotCacheId="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ayment_Mode1" sourceName="Payment_Mode">
  <pivotTables>
    <pivotTable tabId="6" name="PivotTable11"/>
  </pivotTables>
  <data>
    <tabular pivotCacheId="1">
      <items count="4">
        <i x="1" s="1"/>
        <i x="2" s="1"/>
        <i x="3"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Category" sourceName="Category">
  <extLst>
    <x:ext xmlns:x15="http://schemas.microsoft.com/office/spreadsheetml/2010/11/main" uri="{2F2917AC-EB37-4324-AD4E-5DD8C200BD13}">
      <x15:tableSlicerCache tableId="2" column="6"/>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Payment_Mode" sourceName="Payment_Mode">
  <extLst>
    <x:ext xmlns:x15="http://schemas.microsoft.com/office/spreadsheetml/2010/11/main" uri="{2F2917AC-EB37-4324-AD4E-5DD8C200BD13}">
      <x15:tableSlicerCache tableId="2" column="11"/>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Delivery_Status" sourceName="Delivery_Status">
  <extLst>
    <x:ext xmlns:x15="http://schemas.microsoft.com/office/spreadsheetml/2010/11/main" uri="{2F2917AC-EB37-4324-AD4E-5DD8C200BD13}">
      <x15:tableSlicerCache tableId="2" column="12"/>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City" sourceName="City">
  <extLst>
    <x:ext xmlns:x15="http://schemas.microsoft.com/office/spreadsheetml/2010/11/main" uri="{2F2917AC-EB37-4324-AD4E-5DD8C200BD13}">
      <x15:tableSlicerCache tableId="2"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41300"/>
  <slicer name="Payment_Mode" cache="Slicer_Payment_Mode" caption="Payment_Mode" rowHeight="241300"/>
  <slicer name="Delivery_Status" cache="Slicer_Delivery_Status" caption="Delivery_Status" rowHeight="241300"/>
  <slicer name="City" cache="Slicer_City" caption="City"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ity 2" cache="Slicer_City1" caption="City" style="SlicerStyleLight5" rowHeight="241300"/>
  <slicer name="Category 1" cache="Slicer_Category1" caption="Category" style="SlicerStyleLight2" rowHeight="241300"/>
  <slicer name="Delivery_Status 2" cache="Slicer_Delivery_Status1" caption="Delivery_Status" style="SlicerStyleDark6" rowHeight="241300"/>
  <slicer name="Payment_Mode 2" cache="Slicer_Payment_Mode1" caption="Payment_Mode" style="SlicerStyleLight4" rowHeight="241300"/>
</slicers>
</file>

<file path=xl/tables/table1.xml><?xml version="1.0" encoding="utf-8"?>
<table xmlns="http://schemas.openxmlformats.org/spreadsheetml/2006/main" id="2" name="Table2" displayName="Table2" ref="A1:L201" totalsRowShown="0" headerRowDxfId="1">
  <autoFilter ref="A1:L201">
    <filterColumn colId="10">
      <filters>
        <filter val="Card"/>
      </filters>
    </filterColumn>
  </autoFilter>
  <tableColumns count="12">
    <tableColumn id="1" name="Order_ID"/>
    <tableColumn id="2" name="Order_Date" dataDxfId="0"/>
    <tableColumn id="3" name="Customer_ID"/>
    <tableColumn id="4" name="City"/>
    <tableColumn id="5" name="Product_Name"/>
    <tableColumn id="6" name="Category"/>
    <tableColumn id="7" name="Quantity"/>
    <tableColumn id="8" name="Unit_Price"/>
    <tableColumn id="9" name="Discount_%"/>
    <tableColumn id="10" name="Sales_Amount"/>
    <tableColumn id="11" name="Payment_Mode"/>
    <tableColumn id="12" name="Delivery_Statu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drawing" Target="../drawings/drawing2.xml"/><Relationship Id="rId4" Type="http://schemas.openxmlformats.org/officeDocument/2006/relationships/pivotTable" Target="../pivotTables/pivotTable8.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9.xml"/><Relationship Id="rId2" Type="http://schemas.openxmlformats.org/officeDocument/2006/relationships/pivotTable" Target="../pivotTables/pivotTable18.xml"/><Relationship Id="rId1" Type="http://schemas.openxmlformats.org/officeDocument/2006/relationships/pivotTable" Target="../pivotTables/pivotTable17.xml"/><Relationship Id="rId5" Type="http://schemas.openxmlformats.org/officeDocument/2006/relationships/drawing" Target="../drawings/drawing6.xml"/><Relationship Id="rId4" Type="http://schemas.openxmlformats.org/officeDocument/2006/relationships/pivotTable" Target="../pivotTables/pivotTable20.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7.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14"/>
  <sheetViews>
    <sheetView topLeftCell="A3" workbookViewId="0">
      <selection activeCell="J3" sqref="J3:K9"/>
    </sheetView>
  </sheetViews>
  <sheetFormatPr defaultRowHeight="15" x14ac:dyDescent="0.25"/>
  <cols>
    <col min="1" max="1" width="13.140625" bestFit="1" customWidth="1"/>
    <col min="2" max="2" width="20.5703125" bestFit="1" customWidth="1"/>
    <col min="3" max="4" width="13.140625" customWidth="1"/>
    <col min="5" max="5" width="15.42578125" customWidth="1"/>
    <col min="7" max="7" width="13.140625" customWidth="1"/>
    <col min="8" max="8" width="20.5703125" bestFit="1" customWidth="1"/>
    <col min="10" max="10" width="13.140625" customWidth="1"/>
    <col min="11" max="11" width="20.5703125" customWidth="1"/>
  </cols>
  <sheetData>
    <row r="2" spans="1:11" x14ac:dyDescent="0.25">
      <c r="A2" s="10" t="s">
        <v>260</v>
      </c>
      <c r="B2" s="11"/>
      <c r="C2" s="10" t="s">
        <v>261</v>
      </c>
      <c r="D2" s="10"/>
      <c r="E2" s="10"/>
      <c r="G2" s="10" t="s">
        <v>263</v>
      </c>
      <c r="H2" s="10"/>
      <c r="I2" s="7"/>
      <c r="J2" s="10" t="s">
        <v>264</v>
      </c>
      <c r="K2" s="10"/>
    </row>
    <row r="3" spans="1:11" x14ac:dyDescent="0.25">
      <c r="A3" s="4" t="s">
        <v>257</v>
      </c>
      <c r="B3" t="s">
        <v>259</v>
      </c>
      <c r="D3" s="4" t="s">
        <v>257</v>
      </c>
      <c r="E3" t="s">
        <v>262</v>
      </c>
      <c r="G3" s="4" t="s">
        <v>257</v>
      </c>
      <c r="H3" t="s">
        <v>259</v>
      </c>
      <c r="J3" s="4" t="s">
        <v>257</v>
      </c>
      <c r="K3" t="s">
        <v>265</v>
      </c>
    </row>
    <row r="4" spans="1:11" x14ac:dyDescent="0.25">
      <c r="A4" s="5" t="s">
        <v>37</v>
      </c>
      <c r="B4" s="6">
        <v>2549837.4500000002</v>
      </c>
      <c r="D4" s="5" t="s">
        <v>51</v>
      </c>
      <c r="E4" s="6">
        <v>78</v>
      </c>
      <c r="G4" s="5" t="s">
        <v>29</v>
      </c>
      <c r="H4" s="6">
        <v>1638622.95</v>
      </c>
      <c r="J4" s="5" t="s">
        <v>37</v>
      </c>
      <c r="K4" s="6">
        <v>23176.487804878048</v>
      </c>
    </row>
    <row r="5" spans="1:11" x14ac:dyDescent="0.25">
      <c r="A5" s="5" t="s">
        <v>15</v>
      </c>
      <c r="B5" s="6">
        <v>4003751.9000000004</v>
      </c>
      <c r="D5" s="5" t="s">
        <v>29</v>
      </c>
      <c r="E5" s="6">
        <v>76</v>
      </c>
      <c r="G5" s="5" t="s">
        <v>45</v>
      </c>
      <c r="H5" s="6">
        <v>1402800.7</v>
      </c>
      <c r="J5" s="5" t="s">
        <v>15</v>
      </c>
      <c r="K5" s="6">
        <v>25156.552238805969</v>
      </c>
    </row>
    <row r="6" spans="1:11" x14ac:dyDescent="0.25">
      <c r="A6" s="5" t="s">
        <v>21</v>
      </c>
      <c r="B6" s="6">
        <v>3044049.2000000007</v>
      </c>
      <c r="D6" s="5" t="s">
        <v>45</v>
      </c>
      <c r="E6" s="6">
        <v>66</v>
      </c>
      <c r="G6" s="5" t="s">
        <v>65</v>
      </c>
      <c r="H6" s="6">
        <v>1194217.6499999999</v>
      </c>
      <c r="J6" s="5" t="s">
        <v>21</v>
      </c>
      <c r="K6" s="6">
        <v>26278.16</v>
      </c>
    </row>
    <row r="7" spans="1:11" x14ac:dyDescent="0.25">
      <c r="A7" s="5" t="s">
        <v>30</v>
      </c>
      <c r="B7" s="6">
        <v>1638622.95</v>
      </c>
      <c r="D7" s="5" t="s">
        <v>20</v>
      </c>
      <c r="E7" s="6">
        <v>65</v>
      </c>
      <c r="G7" s="5" t="s">
        <v>51</v>
      </c>
      <c r="H7" s="6">
        <v>1821078.2499999993</v>
      </c>
      <c r="J7" s="5" t="s">
        <v>30</v>
      </c>
      <c r="K7" s="6">
        <v>25251</v>
      </c>
    </row>
    <row r="8" spans="1:11" x14ac:dyDescent="0.25">
      <c r="A8" s="5" t="s">
        <v>34</v>
      </c>
      <c r="B8" s="6">
        <v>1134891.3999999999</v>
      </c>
      <c r="D8" s="5" t="s">
        <v>36</v>
      </c>
      <c r="E8" s="6">
        <v>65</v>
      </c>
      <c r="G8" s="5" t="s">
        <v>20</v>
      </c>
      <c r="H8" s="6">
        <v>1222970.9499999997</v>
      </c>
      <c r="J8" s="5" t="s">
        <v>34</v>
      </c>
      <c r="K8" s="6">
        <v>24392.722222222223</v>
      </c>
    </row>
    <row r="9" spans="1:11" x14ac:dyDescent="0.25">
      <c r="A9" s="5" t="s">
        <v>258</v>
      </c>
      <c r="B9" s="6">
        <v>12371152.9</v>
      </c>
      <c r="D9" s="5" t="s">
        <v>33</v>
      </c>
      <c r="E9" s="6">
        <v>58</v>
      </c>
      <c r="G9" s="5" t="s">
        <v>258</v>
      </c>
      <c r="H9" s="6">
        <v>7279690.4999999981</v>
      </c>
      <c r="J9" s="5" t="s">
        <v>258</v>
      </c>
      <c r="K9" s="6">
        <v>24973.63</v>
      </c>
    </row>
    <row r="10" spans="1:11" x14ac:dyDescent="0.25">
      <c r="D10" s="5" t="s">
        <v>53</v>
      </c>
      <c r="E10" s="6">
        <v>53</v>
      </c>
    </row>
    <row r="11" spans="1:11" x14ac:dyDescent="0.25">
      <c r="D11" s="5" t="s">
        <v>65</v>
      </c>
      <c r="E11" s="6">
        <v>48</v>
      </c>
    </row>
    <row r="12" spans="1:11" x14ac:dyDescent="0.25">
      <c r="D12" s="5" t="s">
        <v>43</v>
      </c>
      <c r="E12" s="6">
        <v>45</v>
      </c>
      <c r="G12" s="10" t="s">
        <v>266</v>
      </c>
      <c r="H12" s="10"/>
    </row>
    <row r="13" spans="1:11" x14ac:dyDescent="0.25">
      <c r="D13" s="5" t="s">
        <v>14</v>
      </c>
      <c r="E13" s="6">
        <v>39</v>
      </c>
      <c r="G13" s="11" t="e">
        <f>CategorySales/TotalSales</f>
        <v>#NAME?</v>
      </c>
      <c r="H13" s="11"/>
    </row>
    <row r="14" spans="1:11" x14ac:dyDescent="0.25">
      <c r="D14" s="5" t="s">
        <v>258</v>
      </c>
      <c r="E14" s="6">
        <v>593</v>
      </c>
    </row>
  </sheetData>
  <mergeCells count="6">
    <mergeCell ref="J2:K2"/>
    <mergeCell ref="G13:H13"/>
    <mergeCell ref="A2:B2"/>
    <mergeCell ref="C2:E2"/>
    <mergeCell ref="G2:H2"/>
    <mergeCell ref="G12:H12"/>
  </mergeCell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12"/>
  <sheetViews>
    <sheetView workbookViewId="0">
      <selection activeCell="J3" sqref="J3:K12"/>
    </sheetView>
  </sheetViews>
  <sheetFormatPr defaultRowHeight="15" x14ac:dyDescent="0.25"/>
  <cols>
    <col min="1" max="1" width="13.140625" customWidth="1"/>
    <col min="2" max="2" width="20.5703125" customWidth="1"/>
    <col min="4" max="4" width="13.140625" bestFit="1" customWidth="1"/>
    <col min="5" max="5" width="17.28515625" customWidth="1"/>
    <col min="6" max="6" width="17.28515625" bestFit="1" customWidth="1"/>
    <col min="7" max="7" width="13.140625" bestFit="1" customWidth="1"/>
    <col min="8" max="8" width="24.140625" bestFit="1" customWidth="1"/>
    <col min="10" max="10" width="13.140625" bestFit="1" customWidth="1"/>
    <col min="11" max="12" width="15.42578125" customWidth="1"/>
  </cols>
  <sheetData>
    <row r="2" spans="1:12" x14ac:dyDescent="0.25">
      <c r="A2" s="10" t="s">
        <v>267</v>
      </c>
      <c r="B2" s="10"/>
      <c r="C2" s="10"/>
      <c r="D2" s="10" t="s">
        <v>268</v>
      </c>
      <c r="E2" s="11"/>
      <c r="F2" s="11"/>
      <c r="G2" s="10" t="s">
        <v>270</v>
      </c>
      <c r="H2" s="11"/>
      <c r="I2" s="11"/>
      <c r="J2" s="10" t="s">
        <v>272</v>
      </c>
      <c r="K2" s="10"/>
      <c r="L2" s="10"/>
    </row>
    <row r="3" spans="1:12" x14ac:dyDescent="0.25">
      <c r="A3" s="4" t="s">
        <v>257</v>
      </c>
      <c r="B3" t="s">
        <v>259</v>
      </c>
      <c r="D3" s="4" t="s">
        <v>257</v>
      </c>
      <c r="E3" t="s">
        <v>269</v>
      </c>
      <c r="G3" s="4" t="s">
        <v>257</v>
      </c>
      <c r="H3" t="s">
        <v>271</v>
      </c>
      <c r="J3" s="4" t="s">
        <v>257</v>
      </c>
      <c r="K3" t="s">
        <v>262</v>
      </c>
    </row>
    <row r="4" spans="1:12" x14ac:dyDescent="0.25">
      <c r="A4" s="5" t="s">
        <v>19</v>
      </c>
      <c r="B4" s="6">
        <v>2228986.5999999996</v>
      </c>
      <c r="D4" s="5" t="s">
        <v>13</v>
      </c>
      <c r="E4" s="6">
        <v>26</v>
      </c>
      <c r="G4" s="5" t="s">
        <v>13</v>
      </c>
      <c r="H4" s="6">
        <v>52509.859615384616</v>
      </c>
      <c r="J4" s="5" t="s">
        <v>13</v>
      </c>
      <c r="K4" s="6">
        <v>73</v>
      </c>
    </row>
    <row r="5" spans="1:12" x14ac:dyDescent="0.25">
      <c r="A5" s="5" t="s">
        <v>49</v>
      </c>
      <c r="B5" s="6">
        <v>2087869.4499999997</v>
      </c>
      <c r="D5" s="5" t="s">
        <v>47</v>
      </c>
      <c r="E5" s="6">
        <v>18</v>
      </c>
      <c r="G5" s="5" t="s">
        <v>47</v>
      </c>
      <c r="H5" s="6">
        <v>77121.463888888888</v>
      </c>
      <c r="J5" s="5" t="s">
        <v>47</v>
      </c>
      <c r="K5" s="6">
        <v>54</v>
      </c>
    </row>
    <row r="6" spans="1:12" x14ac:dyDescent="0.25">
      <c r="A6" s="5" t="s">
        <v>40</v>
      </c>
      <c r="B6" s="6">
        <v>1791971.7500000002</v>
      </c>
      <c r="D6" s="5" t="s">
        <v>40</v>
      </c>
      <c r="E6" s="6">
        <v>31</v>
      </c>
      <c r="G6" s="5" t="s">
        <v>40</v>
      </c>
      <c r="H6" s="6">
        <v>57805.540322580651</v>
      </c>
      <c r="J6" s="5" t="s">
        <v>40</v>
      </c>
      <c r="K6" s="6">
        <v>87</v>
      </c>
    </row>
    <row r="7" spans="1:12" x14ac:dyDescent="0.25">
      <c r="A7" s="5" t="s">
        <v>25</v>
      </c>
      <c r="B7" s="6">
        <v>1671425.4</v>
      </c>
      <c r="D7" s="5" t="s">
        <v>28</v>
      </c>
      <c r="E7" s="6">
        <v>17</v>
      </c>
      <c r="G7" s="5" t="s">
        <v>28</v>
      </c>
      <c r="H7" s="6">
        <v>36244.729411764711</v>
      </c>
      <c r="J7" s="5" t="s">
        <v>28</v>
      </c>
      <c r="K7" s="6">
        <v>45</v>
      </c>
    </row>
    <row r="8" spans="1:12" x14ac:dyDescent="0.25">
      <c r="A8" s="5" t="s">
        <v>47</v>
      </c>
      <c r="B8" s="6">
        <v>1388186.35</v>
      </c>
      <c r="D8" s="5" t="s">
        <v>49</v>
      </c>
      <c r="E8" s="6">
        <v>29</v>
      </c>
      <c r="G8" s="5" t="s">
        <v>49</v>
      </c>
      <c r="H8" s="6">
        <v>71995.498275862061</v>
      </c>
      <c r="J8" s="5" t="s">
        <v>49</v>
      </c>
      <c r="K8" s="6">
        <v>97</v>
      </c>
    </row>
    <row r="9" spans="1:12" x14ac:dyDescent="0.25">
      <c r="A9" s="5" t="s">
        <v>13</v>
      </c>
      <c r="B9" s="6">
        <v>1365256.35</v>
      </c>
      <c r="D9" s="5" t="s">
        <v>19</v>
      </c>
      <c r="E9" s="6">
        <v>31</v>
      </c>
      <c r="G9" s="5" t="s">
        <v>19</v>
      </c>
      <c r="H9" s="6">
        <v>71902.793548387082</v>
      </c>
      <c r="J9" s="5" t="s">
        <v>19</v>
      </c>
      <c r="K9" s="6">
        <v>91</v>
      </c>
    </row>
    <row r="10" spans="1:12" x14ac:dyDescent="0.25">
      <c r="A10" s="5" t="s">
        <v>58</v>
      </c>
      <c r="B10" s="6">
        <v>1221296.5999999999</v>
      </c>
      <c r="D10" s="5" t="s">
        <v>58</v>
      </c>
      <c r="E10" s="6">
        <v>20</v>
      </c>
      <c r="G10" s="5" t="s">
        <v>58</v>
      </c>
      <c r="H10" s="6">
        <v>61064.829999999994</v>
      </c>
      <c r="J10" s="5" t="s">
        <v>58</v>
      </c>
      <c r="K10" s="6">
        <v>59</v>
      </c>
    </row>
    <row r="11" spans="1:12" x14ac:dyDescent="0.25">
      <c r="A11" s="5" t="s">
        <v>28</v>
      </c>
      <c r="B11" s="6">
        <v>616160.40000000014</v>
      </c>
      <c r="D11" s="5" t="s">
        <v>25</v>
      </c>
      <c r="E11" s="6">
        <v>28</v>
      </c>
      <c r="G11" s="5" t="s">
        <v>25</v>
      </c>
      <c r="H11" s="6">
        <v>59693.764285714286</v>
      </c>
      <c r="J11" s="5" t="s">
        <v>25</v>
      </c>
      <c r="K11" s="6">
        <v>87</v>
      </c>
    </row>
    <row r="12" spans="1:12" x14ac:dyDescent="0.25">
      <c r="A12" s="5" t="s">
        <v>258</v>
      </c>
      <c r="B12" s="6">
        <v>12371152.899999999</v>
      </c>
      <c r="D12" s="5" t="s">
        <v>258</v>
      </c>
      <c r="E12" s="6">
        <v>200</v>
      </c>
      <c r="G12" s="5" t="s">
        <v>258</v>
      </c>
      <c r="H12" s="6">
        <v>61855.764500000005</v>
      </c>
      <c r="J12" s="5" t="s">
        <v>258</v>
      </c>
      <c r="K12" s="6">
        <v>593</v>
      </c>
    </row>
  </sheetData>
  <mergeCells count="4">
    <mergeCell ref="A2:C2"/>
    <mergeCell ref="D2:F2"/>
    <mergeCell ref="G2:I2"/>
    <mergeCell ref="J2:L2"/>
  </mergeCells>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13"/>
  <sheetViews>
    <sheetView topLeftCell="A2" workbookViewId="0">
      <selection activeCell="B3" sqref="B3"/>
    </sheetView>
  </sheetViews>
  <sheetFormatPr defaultRowHeight="15" x14ac:dyDescent="0.25"/>
  <cols>
    <col min="1" max="1" width="13.140625" customWidth="1"/>
    <col min="2" max="2" width="17.28515625" customWidth="1"/>
    <col min="3" max="3" width="21.7109375" customWidth="1"/>
    <col min="4" max="4" width="17.28515625" customWidth="1"/>
    <col min="5" max="5" width="16.28515625" bestFit="1" customWidth="1"/>
    <col min="6" max="6" width="9.7109375" customWidth="1"/>
    <col min="7" max="7" width="8.28515625" customWidth="1"/>
    <col min="8" max="8" width="11.28515625" bestFit="1" customWidth="1"/>
    <col min="10" max="10" width="13.140625" bestFit="1" customWidth="1"/>
    <col min="11" max="11" width="20.5703125" bestFit="1" customWidth="1"/>
    <col min="12" max="12" width="17.28515625" customWidth="1"/>
  </cols>
  <sheetData>
    <row r="2" spans="1:12" x14ac:dyDescent="0.25">
      <c r="A2" s="10" t="s">
        <v>276</v>
      </c>
      <c r="B2" s="10"/>
      <c r="C2" s="10"/>
      <c r="D2" s="10" t="s">
        <v>278</v>
      </c>
      <c r="E2" s="10"/>
      <c r="F2" s="10"/>
      <c r="J2" s="10" t="s">
        <v>279</v>
      </c>
      <c r="K2" s="10"/>
      <c r="L2" s="10"/>
    </row>
    <row r="3" spans="1:12" x14ac:dyDescent="0.25">
      <c r="A3" s="4" t="s">
        <v>257</v>
      </c>
      <c r="B3" t="s">
        <v>269</v>
      </c>
      <c r="D3" s="4" t="s">
        <v>269</v>
      </c>
      <c r="E3" s="4" t="s">
        <v>277</v>
      </c>
      <c r="J3" s="4" t="s">
        <v>257</v>
      </c>
      <c r="K3" t="s">
        <v>259</v>
      </c>
    </row>
    <row r="4" spans="1:12" x14ac:dyDescent="0.25">
      <c r="A4" s="5" t="s">
        <v>17</v>
      </c>
      <c r="B4" s="6">
        <v>63</v>
      </c>
      <c r="D4" s="4" t="s">
        <v>257</v>
      </c>
      <c r="E4" t="s">
        <v>17</v>
      </c>
      <c r="F4" t="s">
        <v>23</v>
      </c>
      <c r="G4" t="s">
        <v>26</v>
      </c>
      <c r="H4" t="s">
        <v>258</v>
      </c>
      <c r="J4" s="5" t="s">
        <v>17</v>
      </c>
      <c r="K4" s="6">
        <v>3510091.75</v>
      </c>
    </row>
    <row r="5" spans="1:12" x14ac:dyDescent="0.25">
      <c r="A5" s="5" t="s">
        <v>23</v>
      </c>
      <c r="B5" s="6">
        <v>72</v>
      </c>
      <c r="D5" s="5" t="s">
        <v>13</v>
      </c>
      <c r="E5" s="6">
        <v>6</v>
      </c>
      <c r="F5" s="6">
        <v>12</v>
      </c>
      <c r="G5" s="6">
        <v>8</v>
      </c>
      <c r="H5" s="6">
        <v>26</v>
      </c>
      <c r="J5" s="5" t="s">
        <v>23</v>
      </c>
      <c r="K5" s="6">
        <v>4794071.8499999996</v>
      </c>
    </row>
    <row r="6" spans="1:12" x14ac:dyDescent="0.25">
      <c r="A6" s="5" t="s">
        <v>26</v>
      </c>
      <c r="B6" s="6">
        <v>65</v>
      </c>
      <c r="D6" s="5" t="s">
        <v>47</v>
      </c>
      <c r="E6" s="6">
        <v>4</v>
      </c>
      <c r="F6" s="6">
        <v>7</v>
      </c>
      <c r="G6" s="6">
        <v>7</v>
      </c>
      <c r="H6" s="6">
        <v>18</v>
      </c>
      <c r="J6" s="5" t="s">
        <v>26</v>
      </c>
      <c r="K6" s="6">
        <v>4066989.3000000007</v>
      </c>
    </row>
    <row r="7" spans="1:12" x14ac:dyDescent="0.25">
      <c r="A7" s="5" t="s">
        <v>258</v>
      </c>
      <c r="B7" s="6">
        <v>200</v>
      </c>
      <c r="D7" s="5" t="s">
        <v>40</v>
      </c>
      <c r="E7" s="6">
        <v>16</v>
      </c>
      <c r="F7" s="6">
        <v>10</v>
      </c>
      <c r="G7" s="6">
        <v>5</v>
      </c>
      <c r="H7" s="6">
        <v>31</v>
      </c>
      <c r="J7" s="5" t="s">
        <v>258</v>
      </c>
      <c r="K7" s="6">
        <v>12371152.9</v>
      </c>
    </row>
    <row r="8" spans="1:12" x14ac:dyDescent="0.25">
      <c r="D8" s="5" t="s">
        <v>28</v>
      </c>
      <c r="E8" s="6">
        <v>4</v>
      </c>
      <c r="F8" s="6">
        <v>7</v>
      </c>
      <c r="G8" s="6">
        <v>6</v>
      </c>
      <c r="H8" s="6">
        <v>17</v>
      </c>
    </row>
    <row r="9" spans="1:12" x14ac:dyDescent="0.25">
      <c r="D9" s="5" t="s">
        <v>49</v>
      </c>
      <c r="E9" s="6">
        <v>5</v>
      </c>
      <c r="F9" s="6">
        <v>14</v>
      </c>
      <c r="G9" s="6">
        <v>10</v>
      </c>
      <c r="H9" s="6">
        <v>29</v>
      </c>
    </row>
    <row r="10" spans="1:12" x14ac:dyDescent="0.25">
      <c r="D10" s="5" t="s">
        <v>19</v>
      </c>
      <c r="E10" s="6">
        <v>10</v>
      </c>
      <c r="F10" s="6">
        <v>12</v>
      </c>
      <c r="G10" s="6">
        <v>9</v>
      </c>
      <c r="H10" s="6">
        <v>31</v>
      </c>
    </row>
    <row r="11" spans="1:12" x14ac:dyDescent="0.25">
      <c r="D11" s="5" t="s">
        <v>58</v>
      </c>
      <c r="E11" s="6">
        <v>7</v>
      </c>
      <c r="F11" s="6">
        <v>3</v>
      </c>
      <c r="G11" s="6">
        <v>10</v>
      </c>
      <c r="H11" s="6">
        <v>20</v>
      </c>
    </row>
    <row r="12" spans="1:12" x14ac:dyDescent="0.25">
      <c r="D12" s="5" t="s">
        <v>25</v>
      </c>
      <c r="E12" s="6">
        <v>11</v>
      </c>
      <c r="F12" s="6">
        <v>7</v>
      </c>
      <c r="G12" s="6">
        <v>10</v>
      </c>
      <c r="H12" s="6">
        <v>28</v>
      </c>
    </row>
    <row r="13" spans="1:12" x14ac:dyDescent="0.25">
      <c r="D13" s="5" t="s">
        <v>258</v>
      </c>
      <c r="E13" s="6">
        <v>63</v>
      </c>
      <c r="F13" s="6">
        <v>72</v>
      </c>
      <c r="G13" s="6">
        <v>65</v>
      </c>
      <c r="H13" s="6">
        <v>200</v>
      </c>
    </row>
  </sheetData>
  <mergeCells count="3">
    <mergeCell ref="A2:C2"/>
    <mergeCell ref="D2:F2"/>
    <mergeCell ref="J2:L2"/>
  </mergeCells>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8"/>
  <sheetViews>
    <sheetView workbookViewId="0">
      <selection activeCell="D3" sqref="D3:E8"/>
    </sheetView>
  </sheetViews>
  <sheetFormatPr defaultRowHeight="15" x14ac:dyDescent="0.25"/>
  <cols>
    <col min="1" max="1" width="13.140625" customWidth="1"/>
    <col min="2" max="2" width="17.28515625" bestFit="1" customWidth="1"/>
    <col min="4" max="4" width="13.140625" bestFit="1" customWidth="1"/>
    <col min="5" max="5" width="20.5703125" bestFit="1" customWidth="1"/>
    <col min="6" max="6" width="17" customWidth="1"/>
  </cols>
  <sheetData>
    <row r="2" spans="1:9" x14ac:dyDescent="0.25">
      <c r="A2" s="10" t="s">
        <v>273</v>
      </c>
      <c r="B2" s="10"/>
      <c r="C2" s="10"/>
      <c r="D2" s="10" t="s">
        <v>274</v>
      </c>
      <c r="E2" s="10"/>
      <c r="F2" s="10"/>
      <c r="G2" s="10" t="s">
        <v>275</v>
      </c>
      <c r="H2" s="10"/>
      <c r="I2" s="10"/>
    </row>
    <row r="3" spans="1:9" x14ac:dyDescent="0.25">
      <c r="A3" s="4" t="s">
        <v>257</v>
      </c>
      <c r="B3" t="s">
        <v>269</v>
      </c>
      <c r="D3" s="4" t="s">
        <v>257</v>
      </c>
      <c r="E3" t="s">
        <v>259</v>
      </c>
      <c r="G3" s="11" t="e">
        <f>PaymentModeSales/TotalSales</f>
        <v>#NAME?</v>
      </c>
      <c r="H3" s="11"/>
      <c r="I3" s="11"/>
    </row>
    <row r="4" spans="1:9" x14ac:dyDescent="0.25">
      <c r="A4" s="5" t="s">
        <v>22</v>
      </c>
      <c r="B4" s="6">
        <v>49</v>
      </c>
      <c r="D4" s="5" t="s">
        <v>22</v>
      </c>
      <c r="E4" s="6">
        <v>2349959.6500000004</v>
      </c>
    </row>
    <row r="5" spans="1:9" x14ac:dyDescent="0.25">
      <c r="A5" s="5" t="s">
        <v>31</v>
      </c>
      <c r="B5" s="6">
        <v>52</v>
      </c>
      <c r="D5" s="5" t="s">
        <v>31</v>
      </c>
      <c r="E5" s="6">
        <v>3547164.1000000006</v>
      </c>
    </row>
    <row r="6" spans="1:9" x14ac:dyDescent="0.25">
      <c r="A6" s="5" t="s">
        <v>41</v>
      </c>
      <c r="B6" s="6">
        <v>46</v>
      </c>
      <c r="D6" s="5" t="s">
        <v>41</v>
      </c>
      <c r="E6" s="6">
        <v>2659915.4499999997</v>
      </c>
    </row>
    <row r="7" spans="1:9" x14ac:dyDescent="0.25">
      <c r="A7" s="5" t="s">
        <v>16</v>
      </c>
      <c r="B7" s="6">
        <v>53</v>
      </c>
      <c r="D7" s="5" t="s">
        <v>16</v>
      </c>
      <c r="E7" s="6">
        <v>3814113.6999999997</v>
      </c>
    </row>
    <row r="8" spans="1:9" x14ac:dyDescent="0.25">
      <c r="A8" s="5" t="s">
        <v>258</v>
      </c>
      <c r="B8" s="6">
        <v>200</v>
      </c>
      <c r="D8" s="5" t="s">
        <v>258</v>
      </c>
      <c r="E8" s="6">
        <v>12371152.9</v>
      </c>
    </row>
  </sheetData>
  <mergeCells count="4">
    <mergeCell ref="A2:C2"/>
    <mergeCell ref="D2:F2"/>
    <mergeCell ref="G2:I2"/>
    <mergeCell ref="G3:I3"/>
  </mergeCells>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9"/>
  <sheetViews>
    <sheetView workbookViewId="0">
      <selection activeCell="E3" sqref="E3"/>
    </sheetView>
  </sheetViews>
  <sheetFormatPr defaultRowHeight="15" x14ac:dyDescent="0.25"/>
  <cols>
    <col min="1" max="1" width="13.140625" customWidth="1"/>
    <col min="2" max="2" width="21.7109375" customWidth="1"/>
    <col min="5" max="5" width="18.140625" customWidth="1"/>
    <col min="6" max="6" width="20.5703125" bestFit="1" customWidth="1"/>
    <col min="10" max="10" width="13.140625" bestFit="1" customWidth="1"/>
    <col min="11" max="11" width="18.140625" bestFit="1" customWidth="1"/>
    <col min="12" max="12" width="20.5703125" bestFit="1" customWidth="1"/>
  </cols>
  <sheetData>
    <row r="2" spans="1:12" x14ac:dyDescent="0.25">
      <c r="A2" s="10" t="s">
        <v>280</v>
      </c>
      <c r="B2" s="10"/>
      <c r="C2" s="10"/>
      <c r="D2" s="10"/>
      <c r="E2" s="10" t="s">
        <v>284</v>
      </c>
      <c r="F2" s="10"/>
      <c r="G2" s="10"/>
      <c r="J2" s="10" t="s">
        <v>285</v>
      </c>
      <c r="K2" s="10"/>
      <c r="L2" s="10"/>
    </row>
    <row r="3" spans="1:12" x14ac:dyDescent="0.25">
      <c r="A3" s="4" t="s">
        <v>257</v>
      </c>
      <c r="B3" t="s">
        <v>282</v>
      </c>
      <c r="E3" t="s">
        <v>281</v>
      </c>
      <c r="F3" t="s">
        <v>259</v>
      </c>
      <c r="J3" s="4" t="s">
        <v>257</v>
      </c>
      <c r="K3" t="s">
        <v>281</v>
      </c>
    </row>
    <row r="4" spans="1:12" x14ac:dyDescent="0.25">
      <c r="A4" s="5" t="s">
        <v>37</v>
      </c>
      <c r="B4" s="6">
        <v>15.24390243902439</v>
      </c>
      <c r="E4" s="6">
        <v>2905</v>
      </c>
      <c r="F4" s="6">
        <v>12371152.899999995</v>
      </c>
      <c r="J4" s="5" t="s">
        <v>51</v>
      </c>
      <c r="K4" s="6">
        <v>445</v>
      </c>
    </row>
    <row r="5" spans="1:12" x14ac:dyDescent="0.25">
      <c r="A5" s="5" t="s">
        <v>15</v>
      </c>
      <c r="B5" s="6">
        <v>13.432835820895523</v>
      </c>
      <c r="J5" s="5" t="s">
        <v>258</v>
      </c>
      <c r="K5" s="6">
        <v>445</v>
      </c>
    </row>
    <row r="6" spans="1:12" x14ac:dyDescent="0.25">
      <c r="A6" s="5" t="s">
        <v>21</v>
      </c>
      <c r="B6" s="6">
        <v>15.6</v>
      </c>
    </row>
    <row r="7" spans="1:12" x14ac:dyDescent="0.25">
      <c r="A7" s="5" t="s">
        <v>30</v>
      </c>
      <c r="B7" s="6">
        <v>13.125</v>
      </c>
    </row>
    <row r="8" spans="1:12" x14ac:dyDescent="0.25">
      <c r="A8" s="5" t="s">
        <v>34</v>
      </c>
      <c r="B8" s="6">
        <v>15.833333333333334</v>
      </c>
    </row>
    <row r="9" spans="1:12" x14ac:dyDescent="0.25">
      <c r="A9" s="5" t="s">
        <v>258</v>
      </c>
      <c r="B9" s="6">
        <v>14.525</v>
      </c>
    </row>
  </sheetData>
  <mergeCells count="3">
    <mergeCell ref="A2:D2"/>
    <mergeCell ref="E2:G2"/>
    <mergeCell ref="J2:L2"/>
  </mergeCells>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32"/>
  <sheetViews>
    <sheetView topLeftCell="C1" workbookViewId="0">
      <selection activeCell="L4" sqref="L4"/>
    </sheetView>
  </sheetViews>
  <sheetFormatPr defaultRowHeight="15" x14ac:dyDescent="0.25"/>
  <cols>
    <col min="1" max="1" width="13.140625" customWidth="1"/>
    <col min="2" max="2" width="20.5703125" bestFit="1" customWidth="1"/>
    <col min="5" max="5" width="13.140625" customWidth="1"/>
    <col min="6" max="6" width="17.28515625" bestFit="1" customWidth="1"/>
    <col min="11" max="11" width="13.140625" bestFit="1" customWidth="1"/>
    <col min="12" max="12" width="13.140625" customWidth="1"/>
    <col min="13" max="13" width="15.42578125" customWidth="1"/>
    <col min="14" max="14" width="15.42578125" bestFit="1" customWidth="1"/>
  </cols>
  <sheetData>
    <row r="2" spans="1:14" x14ac:dyDescent="0.25">
      <c r="A2" s="10" t="s">
        <v>286</v>
      </c>
      <c r="B2" s="10"/>
      <c r="C2" s="10"/>
      <c r="L2" s="10" t="s">
        <v>299</v>
      </c>
      <c r="M2" s="10"/>
      <c r="N2" s="10"/>
    </row>
    <row r="3" spans="1:14" x14ac:dyDescent="0.25">
      <c r="A3" s="4" t="s">
        <v>257</v>
      </c>
      <c r="B3" t="s">
        <v>259</v>
      </c>
      <c r="L3" s="4" t="s">
        <v>257</v>
      </c>
      <c r="M3" t="s">
        <v>262</v>
      </c>
    </row>
    <row r="4" spans="1:14" x14ac:dyDescent="0.25">
      <c r="A4" s="8" t="s">
        <v>287</v>
      </c>
      <c r="B4" s="6">
        <v>674943.64999999991</v>
      </c>
      <c r="L4" s="8" t="s">
        <v>287</v>
      </c>
      <c r="M4" s="6">
        <v>42</v>
      </c>
    </row>
    <row r="5" spans="1:14" x14ac:dyDescent="0.25">
      <c r="A5" s="8" t="s">
        <v>288</v>
      </c>
      <c r="B5" s="6">
        <v>757304.20000000007</v>
      </c>
      <c r="L5" s="8" t="s">
        <v>288</v>
      </c>
      <c r="M5" s="6">
        <v>31</v>
      </c>
    </row>
    <row r="6" spans="1:14" x14ac:dyDescent="0.25">
      <c r="A6" s="8" t="s">
        <v>289</v>
      </c>
      <c r="B6" s="6">
        <v>1118681.5999999999</v>
      </c>
      <c r="L6" s="8" t="s">
        <v>289</v>
      </c>
      <c r="M6" s="6">
        <v>52</v>
      </c>
    </row>
    <row r="7" spans="1:14" x14ac:dyDescent="0.25">
      <c r="A7" s="8" t="s">
        <v>290</v>
      </c>
      <c r="B7" s="6">
        <v>607215.30000000005</v>
      </c>
      <c r="L7" s="8" t="s">
        <v>290</v>
      </c>
      <c r="M7" s="6">
        <v>28</v>
      </c>
    </row>
    <row r="8" spans="1:14" x14ac:dyDescent="0.25">
      <c r="A8" s="8" t="s">
        <v>291</v>
      </c>
      <c r="B8" s="6">
        <v>1075377.6500000001</v>
      </c>
      <c r="L8" s="8" t="s">
        <v>291</v>
      </c>
      <c r="M8" s="6">
        <v>57</v>
      </c>
    </row>
    <row r="9" spans="1:14" x14ac:dyDescent="0.25">
      <c r="A9" s="8" t="s">
        <v>292</v>
      </c>
      <c r="B9" s="6">
        <v>791408.8</v>
      </c>
      <c r="L9" s="8" t="s">
        <v>292</v>
      </c>
      <c r="M9" s="6">
        <v>41</v>
      </c>
    </row>
    <row r="10" spans="1:14" x14ac:dyDescent="0.25">
      <c r="A10" s="8" t="s">
        <v>293</v>
      </c>
      <c r="B10" s="6">
        <v>1062970.75</v>
      </c>
      <c r="L10" s="8" t="s">
        <v>293</v>
      </c>
      <c r="M10" s="6">
        <v>44</v>
      </c>
    </row>
    <row r="11" spans="1:14" x14ac:dyDescent="0.25">
      <c r="A11" s="8" t="s">
        <v>294</v>
      </c>
      <c r="B11" s="6">
        <v>712323.8</v>
      </c>
      <c r="L11" s="8" t="s">
        <v>294</v>
      </c>
      <c r="M11" s="6">
        <v>32</v>
      </c>
    </row>
    <row r="12" spans="1:14" x14ac:dyDescent="0.25">
      <c r="A12" s="8" t="s">
        <v>295</v>
      </c>
      <c r="B12" s="6">
        <v>844334.7</v>
      </c>
      <c r="L12" s="8" t="s">
        <v>295</v>
      </c>
      <c r="M12" s="6">
        <v>46</v>
      </c>
    </row>
    <row r="13" spans="1:14" x14ac:dyDescent="0.25">
      <c r="A13" s="8" t="s">
        <v>296</v>
      </c>
      <c r="B13" s="6">
        <v>1855775.65</v>
      </c>
      <c r="L13" s="8" t="s">
        <v>296</v>
      </c>
      <c r="M13" s="6">
        <v>85</v>
      </c>
    </row>
    <row r="14" spans="1:14" x14ac:dyDescent="0.25">
      <c r="A14" s="8" t="s">
        <v>297</v>
      </c>
      <c r="B14" s="6">
        <v>1380716.3000000003</v>
      </c>
      <c r="L14" s="8" t="s">
        <v>297</v>
      </c>
      <c r="M14" s="6">
        <v>66</v>
      </c>
    </row>
    <row r="15" spans="1:14" x14ac:dyDescent="0.25">
      <c r="A15" s="8" t="s">
        <v>298</v>
      </c>
      <c r="B15" s="6">
        <v>1490100.5</v>
      </c>
      <c r="L15" s="8" t="s">
        <v>298</v>
      </c>
      <c r="M15" s="6">
        <v>69</v>
      </c>
    </row>
    <row r="16" spans="1:14" x14ac:dyDescent="0.25">
      <c r="A16" s="8" t="s">
        <v>258</v>
      </c>
      <c r="B16" s="6">
        <v>12371152.9</v>
      </c>
      <c r="L16" s="8" t="s">
        <v>258</v>
      </c>
      <c r="M16" s="6">
        <v>593</v>
      </c>
    </row>
    <row r="18" spans="5:13" x14ac:dyDescent="0.25">
      <c r="E18" s="10" t="s">
        <v>300</v>
      </c>
      <c r="F18" s="10"/>
      <c r="G18" s="10"/>
      <c r="H18" s="10"/>
      <c r="J18" s="10" t="s">
        <v>301</v>
      </c>
      <c r="K18" s="10"/>
      <c r="L18" s="10"/>
      <c r="M18" s="10"/>
    </row>
    <row r="19" spans="5:13" x14ac:dyDescent="0.25">
      <c r="E19" s="4" t="s">
        <v>257</v>
      </c>
      <c r="F19" t="s">
        <v>269</v>
      </c>
      <c r="K19" s="4" t="s">
        <v>257</v>
      </c>
      <c r="L19" t="s">
        <v>259</v>
      </c>
    </row>
    <row r="20" spans="5:13" x14ac:dyDescent="0.25">
      <c r="E20" s="8" t="s">
        <v>287</v>
      </c>
      <c r="F20" s="6">
        <v>15</v>
      </c>
      <c r="K20" s="8" t="s">
        <v>296</v>
      </c>
      <c r="L20" s="6">
        <v>1855775.65</v>
      </c>
    </row>
    <row r="21" spans="5:13" x14ac:dyDescent="0.25">
      <c r="E21" s="8" t="s">
        <v>288</v>
      </c>
      <c r="F21" s="6">
        <v>10</v>
      </c>
      <c r="K21" s="8" t="s">
        <v>298</v>
      </c>
      <c r="L21" s="6">
        <v>1490100.5</v>
      </c>
    </row>
    <row r="22" spans="5:13" x14ac:dyDescent="0.25">
      <c r="E22" s="8" t="s">
        <v>289</v>
      </c>
      <c r="F22" s="6">
        <v>18</v>
      </c>
      <c r="K22" s="8" t="s">
        <v>297</v>
      </c>
      <c r="L22" s="6">
        <v>1380716.3000000003</v>
      </c>
    </row>
    <row r="23" spans="5:13" x14ac:dyDescent="0.25">
      <c r="E23" s="8" t="s">
        <v>290</v>
      </c>
      <c r="F23" s="6">
        <v>10</v>
      </c>
      <c r="K23" s="8" t="s">
        <v>289</v>
      </c>
      <c r="L23" s="6">
        <v>1118681.5999999999</v>
      </c>
    </row>
    <row r="24" spans="5:13" x14ac:dyDescent="0.25">
      <c r="E24" s="8" t="s">
        <v>291</v>
      </c>
      <c r="F24" s="6">
        <v>20</v>
      </c>
      <c r="K24" s="8" t="s">
        <v>291</v>
      </c>
      <c r="L24" s="6">
        <v>1075377.6500000001</v>
      </c>
    </row>
    <row r="25" spans="5:13" x14ac:dyDescent="0.25">
      <c r="E25" s="8" t="s">
        <v>292</v>
      </c>
      <c r="F25" s="6">
        <v>17</v>
      </c>
      <c r="K25" s="8" t="s">
        <v>293</v>
      </c>
      <c r="L25" s="6">
        <v>1062970.75</v>
      </c>
    </row>
    <row r="26" spans="5:13" x14ac:dyDescent="0.25">
      <c r="E26" s="8" t="s">
        <v>293</v>
      </c>
      <c r="F26" s="6">
        <v>13</v>
      </c>
      <c r="K26" s="8" t="s">
        <v>295</v>
      </c>
      <c r="L26" s="6">
        <v>844334.7</v>
      </c>
    </row>
    <row r="27" spans="5:13" x14ac:dyDescent="0.25">
      <c r="E27" s="8" t="s">
        <v>294</v>
      </c>
      <c r="F27" s="6">
        <v>13</v>
      </c>
      <c r="K27" s="8" t="s">
        <v>292</v>
      </c>
      <c r="L27" s="6">
        <v>791408.8</v>
      </c>
    </row>
    <row r="28" spans="5:13" x14ac:dyDescent="0.25">
      <c r="E28" s="8" t="s">
        <v>295</v>
      </c>
      <c r="F28" s="6">
        <v>15</v>
      </c>
      <c r="K28" s="8" t="s">
        <v>288</v>
      </c>
      <c r="L28" s="6">
        <v>757304.20000000007</v>
      </c>
    </row>
    <row r="29" spans="5:13" x14ac:dyDescent="0.25">
      <c r="E29" s="8" t="s">
        <v>296</v>
      </c>
      <c r="F29" s="6">
        <v>26</v>
      </c>
      <c r="K29" s="8" t="s">
        <v>294</v>
      </c>
      <c r="L29" s="6">
        <v>712323.8</v>
      </c>
    </row>
    <row r="30" spans="5:13" x14ac:dyDescent="0.25">
      <c r="E30" s="8" t="s">
        <v>297</v>
      </c>
      <c r="F30" s="6">
        <v>21</v>
      </c>
      <c r="K30" s="8" t="s">
        <v>287</v>
      </c>
      <c r="L30" s="6">
        <v>674943.64999999991</v>
      </c>
    </row>
    <row r="31" spans="5:13" x14ac:dyDescent="0.25">
      <c r="E31" s="8" t="s">
        <v>298</v>
      </c>
      <c r="F31" s="6">
        <v>22</v>
      </c>
      <c r="K31" s="8" t="s">
        <v>290</v>
      </c>
      <c r="L31" s="6">
        <v>607215.30000000005</v>
      </c>
    </row>
    <row r="32" spans="5:13" x14ac:dyDescent="0.25">
      <c r="E32" s="8" t="s">
        <v>258</v>
      </c>
      <c r="F32" s="6">
        <v>200</v>
      </c>
      <c r="K32" s="8" t="s">
        <v>258</v>
      </c>
      <c r="L32" s="6">
        <v>12371152.9</v>
      </c>
    </row>
  </sheetData>
  <mergeCells count="4">
    <mergeCell ref="A2:C2"/>
    <mergeCell ref="L2:N2"/>
    <mergeCell ref="E18:H18"/>
    <mergeCell ref="J18:M18"/>
  </mergeCells>
  <pageMargins left="0.7" right="0.7" top="0.75" bottom="0.75" header="0.3" footer="0.3"/>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01"/>
  <sheetViews>
    <sheetView tabSelected="1" topLeftCell="J1" workbookViewId="0">
      <selection activeCell="O1" sqref="O1"/>
    </sheetView>
  </sheetViews>
  <sheetFormatPr defaultRowHeight="15" x14ac:dyDescent="0.25"/>
  <cols>
    <col min="1" max="1" width="13" customWidth="1"/>
    <col min="2" max="2" width="15" customWidth="1"/>
    <col min="3" max="3" width="16" customWidth="1"/>
    <col min="4" max="4" width="14" customWidth="1"/>
    <col min="5" max="5" width="17" customWidth="1"/>
    <col min="6" max="6" width="16" customWidth="1"/>
    <col min="7" max="7" width="13" customWidth="1"/>
    <col min="8" max="9" width="15" customWidth="1"/>
    <col min="10" max="10" width="17" customWidth="1"/>
    <col min="11" max="11" width="17.28515625" customWidth="1"/>
    <col min="12" max="12" width="20" customWidth="1"/>
    <col min="13" max="13" width="12.28515625" customWidth="1"/>
    <col min="14" max="14" width="24.42578125" customWidth="1"/>
    <col min="15" max="15" width="16.85546875" customWidth="1"/>
    <col min="16" max="16" width="16.42578125" customWidth="1"/>
    <col min="17" max="17" width="11.7109375" customWidth="1"/>
    <col min="18" max="18" width="13.7109375" customWidth="1"/>
    <col min="19" max="19" width="13.5703125" bestFit="1" customWidth="1"/>
    <col min="20" max="20" width="14.5703125" bestFit="1" customWidth="1"/>
  </cols>
  <sheetData>
    <row r="1" spans="1:20" x14ac:dyDescent="0.25">
      <c r="A1" s="1" t="s">
        <v>0</v>
      </c>
      <c r="B1" s="2" t="s">
        <v>1</v>
      </c>
      <c r="C1" s="1" t="s">
        <v>2</v>
      </c>
      <c r="D1" s="1" t="s">
        <v>3</v>
      </c>
      <c r="E1" s="1" t="s">
        <v>4</v>
      </c>
      <c r="F1" s="1" t="s">
        <v>5</v>
      </c>
      <c r="G1" s="1" t="s">
        <v>6</v>
      </c>
      <c r="H1" s="1" t="s">
        <v>7</v>
      </c>
      <c r="I1" s="1" t="s">
        <v>8</v>
      </c>
      <c r="J1" s="1" t="s">
        <v>9</v>
      </c>
      <c r="K1" s="1" t="s">
        <v>10</v>
      </c>
      <c r="L1" s="1" t="s">
        <v>11</v>
      </c>
      <c r="M1" s="9" t="s">
        <v>242</v>
      </c>
      <c r="N1" s="9" t="s">
        <v>243</v>
      </c>
      <c r="O1" s="9" t="s">
        <v>244</v>
      </c>
      <c r="P1" s="9" t="s">
        <v>246</v>
      </c>
      <c r="Q1" s="9" t="s">
        <v>247</v>
      </c>
      <c r="R1" s="9" t="s">
        <v>248</v>
      </c>
      <c r="S1" s="9" t="s">
        <v>249</v>
      </c>
      <c r="T1" s="9" t="s">
        <v>250</v>
      </c>
    </row>
    <row r="2" spans="1:20" hidden="1" x14ac:dyDescent="0.25">
      <c r="A2" t="s">
        <v>12</v>
      </c>
      <c r="B2" s="3">
        <v>45783</v>
      </c>
      <c r="C2">
        <v>1029</v>
      </c>
      <c r="D2" t="s">
        <v>13</v>
      </c>
      <c r="E2" t="s">
        <v>14</v>
      </c>
      <c r="F2" t="s">
        <v>15</v>
      </c>
      <c r="G2">
        <v>1</v>
      </c>
      <c r="H2">
        <v>49098</v>
      </c>
      <c r="I2">
        <v>15</v>
      </c>
      <c r="J2">
        <v>41733.300000000003</v>
      </c>
      <c r="K2" t="s">
        <v>16</v>
      </c>
      <c r="L2" t="s">
        <v>17</v>
      </c>
      <c r="M2">
        <f>COUNTBLANK(A:A)</f>
        <v>1048375</v>
      </c>
      <c r="N2">
        <f>COUNTIF(A:A,A2)</f>
        <v>1</v>
      </c>
      <c r="O2" t="s">
        <v>245</v>
      </c>
      <c r="P2" t="str">
        <f>TEXT(B2,"MMM")</f>
        <v>May</v>
      </c>
      <c r="Q2">
        <f>YEAR(B2)</f>
        <v>2025</v>
      </c>
      <c r="R2" t="str">
        <f>IF(J2&gt;5000,"High Sales",IF(J2&gt;2000,"Medium Sales","Low Sales"))</f>
        <v>High Sales</v>
      </c>
      <c r="S2" t="str">
        <f>IF(I2&gt;=20,"High Discount","Low Discount")</f>
        <v>Low Discount</v>
      </c>
      <c r="T2" t="str">
        <f>IF(L2="Delivered","Successful","Pending")</f>
        <v>Pending</v>
      </c>
    </row>
    <row r="3" spans="1:20" x14ac:dyDescent="0.25">
      <c r="A3" t="s">
        <v>18</v>
      </c>
      <c r="B3" s="3">
        <v>45674</v>
      </c>
      <c r="C3">
        <v>1004</v>
      </c>
      <c r="D3" t="s">
        <v>19</v>
      </c>
      <c r="E3" t="s">
        <v>20</v>
      </c>
      <c r="F3" t="s">
        <v>21</v>
      </c>
      <c r="G3">
        <v>1</v>
      </c>
      <c r="H3">
        <v>39198</v>
      </c>
      <c r="I3">
        <v>20</v>
      </c>
      <c r="J3">
        <v>31358.400000000001</v>
      </c>
      <c r="K3" t="s">
        <v>22</v>
      </c>
      <c r="L3" t="s">
        <v>23</v>
      </c>
      <c r="M3">
        <f>COUNTBLANK(A:A)</f>
        <v>1048375</v>
      </c>
      <c r="N3">
        <f>COUNTIF(A:A,A2)</f>
        <v>1</v>
      </c>
      <c r="O3" t="s">
        <v>302</v>
      </c>
      <c r="P3" t="str">
        <f t="shared" ref="P3:P66" si="0">TEXT(B3,"MMM")</f>
        <v>Jan</v>
      </c>
      <c r="R3" t="str">
        <f t="shared" ref="R3:R66" si="1">IF(J3&gt;5000,"High Sales",IF(J3&gt;2000,"Medium Sales","Low Sales"))</f>
        <v>High Sales</v>
      </c>
      <c r="S3" t="str">
        <f t="shared" ref="S3:S66" si="2">IF(I3&gt;=20,"High Discount","Low Discount")</f>
        <v>High Discount</v>
      </c>
      <c r="T3" t="str">
        <f t="shared" ref="T3:T66" si="3">IF(L3="Delivered","Successful","Pending")</f>
        <v>Successful</v>
      </c>
    </row>
    <row r="4" spans="1:20" x14ac:dyDescent="0.25">
      <c r="A4" t="s">
        <v>24</v>
      </c>
      <c r="B4" s="3">
        <v>45759</v>
      </c>
      <c r="C4">
        <v>1092</v>
      </c>
      <c r="D4" t="s">
        <v>25</v>
      </c>
      <c r="E4" t="s">
        <v>20</v>
      </c>
      <c r="F4" t="s">
        <v>21</v>
      </c>
      <c r="G4">
        <v>5</v>
      </c>
      <c r="H4">
        <v>2239</v>
      </c>
      <c r="I4">
        <v>25</v>
      </c>
      <c r="J4">
        <v>8396.25</v>
      </c>
      <c r="K4" t="s">
        <v>22</v>
      </c>
      <c r="L4" t="s">
        <v>26</v>
      </c>
      <c r="P4" t="str">
        <f t="shared" si="0"/>
        <v>Apr</v>
      </c>
      <c r="R4" t="str">
        <f t="shared" si="1"/>
        <v>High Sales</v>
      </c>
      <c r="S4" t="str">
        <f t="shared" si="2"/>
        <v>High Discount</v>
      </c>
      <c r="T4" t="str">
        <f t="shared" si="3"/>
        <v>Pending</v>
      </c>
    </row>
    <row r="5" spans="1:20" hidden="1" x14ac:dyDescent="0.25">
      <c r="A5" t="s">
        <v>27</v>
      </c>
      <c r="B5" s="3">
        <v>46015</v>
      </c>
      <c r="C5">
        <v>1055</v>
      </c>
      <c r="D5" t="s">
        <v>28</v>
      </c>
      <c r="E5" t="s">
        <v>29</v>
      </c>
      <c r="F5" t="s">
        <v>30</v>
      </c>
      <c r="G5">
        <v>3</v>
      </c>
      <c r="H5">
        <v>925</v>
      </c>
      <c r="I5">
        <v>10</v>
      </c>
      <c r="J5">
        <v>2497.5</v>
      </c>
      <c r="K5" t="s">
        <v>31</v>
      </c>
      <c r="L5" t="s">
        <v>23</v>
      </c>
      <c r="P5" t="str">
        <f t="shared" si="0"/>
        <v>Dec</v>
      </c>
      <c r="R5" t="str">
        <f t="shared" si="1"/>
        <v>Medium Sales</v>
      </c>
      <c r="S5" t="str">
        <f t="shared" si="2"/>
        <v>Low Discount</v>
      </c>
      <c r="T5" t="str">
        <f t="shared" si="3"/>
        <v>Successful</v>
      </c>
    </row>
    <row r="6" spans="1:20" hidden="1" x14ac:dyDescent="0.25">
      <c r="A6" t="s">
        <v>32</v>
      </c>
      <c r="B6" s="3">
        <v>45852</v>
      </c>
      <c r="C6">
        <v>1013</v>
      </c>
      <c r="D6" t="s">
        <v>28</v>
      </c>
      <c r="E6" t="s">
        <v>33</v>
      </c>
      <c r="F6" t="s">
        <v>34</v>
      </c>
      <c r="G6">
        <v>3</v>
      </c>
      <c r="H6">
        <v>7198</v>
      </c>
      <c r="I6">
        <v>5</v>
      </c>
      <c r="J6">
        <v>20514.3</v>
      </c>
      <c r="K6" t="s">
        <v>31</v>
      </c>
      <c r="L6" t="s">
        <v>17</v>
      </c>
      <c r="P6" t="str">
        <f t="shared" si="0"/>
        <v>Jul</v>
      </c>
      <c r="R6" t="str">
        <f t="shared" si="1"/>
        <v>High Sales</v>
      </c>
      <c r="S6" t="str">
        <f t="shared" si="2"/>
        <v>Low Discount</v>
      </c>
      <c r="T6" t="str">
        <f t="shared" si="3"/>
        <v>Pending</v>
      </c>
    </row>
    <row r="7" spans="1:20" hidden="1" x14ac:dyDescent="0.25">
      <c r="A7" t="s">
        <v>35</v>
      </c>
      <c r="B7" s="3">
        <v>45932</v>
      </c>
      <c r="C7">
        <v>1016</v>
      </c>
      <c r="D7" t="s">
        <v>25</v>
      </c>
      <c r="E7" t="s">
        <v>36</v>
      </c>
      <c r="F7" t="s">
        <v>37</v>
      </c>
      <c r="G7">
        <v>1</v>
      </c>
      <c r="H7">
        <v>48323</v>
      </c>
      <c r="I7">
        <v>20</v>
      </c>
      <c r="J7">
        <v>38658.400000000001</v>
      </c>
      <c r="K7" t="s">
        <v>16</v>
      </c>
      <c r="L7" t="s">
        <v>17</v>
      </c>
      <c r="P7" t="str">
        <f t="shared" si="0"/>
        <v>Oct</v>
      </c>
      <c r="R7" t="str">
        <f t="shared" si="1"/>
        <v>High Sales</v>
      </c>
      <c r="S7" t="str">
        <f t="shared" si="2"/>
        <v>High Discount</v>
      </c>
      <c r="T7" t="str">
        <f t="shared" si="3"/>
        <v>Pending</v>
      </c>
    </row>
    <row r="8" spans="1:20" hidden="1" x14ac:dyDescent="0.25">
      <c r="A8" t="s">
        <v>38</v>
      </c>
      <c r="B8" s="3">
        <v>45756</v>
      </c>
      <c r="C8">
        <v>1091</v>
      </c>
      <c r="D8" t="s">
        <v>19</v>
      </c>
      <c r="E8" t="s">
        <v>36</v>
      </c>
      <c r="F8" t="s">
        <v>37</v>
      </c>
      <c r="G8">
        <v>5</v>
      </c>
      <c r="H8">
        <v>24200</v>
      </c>
      <c r="I8">
        <v>25</v>
      </c>
      <c r="J8">
        <v>90750</v>
      </c>
      <c r="K8" t="s">
        <v>16</v>
      </c>
      <c r="L8" t="s">
        <v>17</v>
      </c>
      <c r="P8" t="str">
        <f t="shared" si="0"/>
        <v>Apr</v>
      </c>
      <c r="R8" t="str">
        <f t="shared" si="1"/>
        <v>High Sales</v>
      </c>
      <c r="S8" t="str">
        <f t="shared" si="2"/>
        <v>High Discount</v>
      </c>
      <c r="T8" t="str">
        <f t="shared" si="3"/>
        <v>Pending</v>
      </c>
    </row>
    <row r="9" spans="1:20" hidden="1" x14ac:dyDescent="0.25">
      <c r="A9" t="s">
        <v>39</v>
      </c>
      <c r="B9" s="3">
        <v>45709</v>
      </c>
      <c r="C9">
        <v>1049</v>
      </c>
      <c r="D9" t="s">
        <v>40</v>
      </c>
      <c r="E9" t="s">
        <v>33</v>
      </c>
      <c r="F9" t="s">
        <v>34</v>
      </c>
      <c r="G9">
        <v>3</v>
      </c>
      <c r="H9">
        <v>5729</v>
      </c>
      <c r="I9">
        <v>10</v>
      </c>
      <c r="J9">
        <v>15468.3</v>
      </c>
      <c r="K9" t="s">
        <v>41</v>
      </c>
      <c r="L9" t="s">
        <v>17</v>
      </c>
      <c r="P9" t="str">
        <f t="shared" si="0"/>
        <v>Feb</v>
      </c>
      <c r="R9" t="str">
        <f t="shared" si="1"/>
        <v>High Sales</v>
      </c>
      <c r="S9" t="str">
        <f t="shared" si="2"/>
        <v>Low Discount</v>
      </c>
      <c r="T9" t="str">
        <f t="shared" si="3"/>
        <v>Pending</v>
      </c>
    </row>
    <row r="10" spans="1:20" hidden="1" x14ac:dyDescent="0.25">
      <c r="A10" t="s">
        <v>42</v>
      </c>
      <c r="B10" s="3">
        <v>45765</v>
      </c>
      <c r="C10">
        <v>1086</v>
      </c>
      <c r="D10" t="s">
        <v>40</v>
      </c>
      <c r="E10" t="s">
        <v>43</v>
      </c>
      <c r="F10" t="s">
        <v>15</v>
      </c>
      <c r="G10">
        <v>2</v>
      </c>
      <c r="H10">
        <v>24760</v>
      </c>
      <c r="I10">
        <v>15</v>
      </c>
      <c r="J10">
        <v>42092</v>
      </c>
      <c r="K10" t="s">
        <v>16</v>
      </c>
      <c r="L10" t="s">
        <v>17</v>
      </c>
      <c r="P10" t="str">
        <f t="shared" si="0"/>
        <v>Apr</v>
      </c>
      <c r="R10" t="str">
        <f t="shared" si="1"/>
        <v>High Sales</v>
      </c>
      <c r="S10" t="str">
        <f t="shared" si="2"/>
        <v>Low Discount</v>
      </c>
      <c r="T10" t="str">
        <f t="shared" si="3"/>
        <v>Pending</v>
      </c>
    </row>
    <row r="11" spans="1:20" hidden="1" x14ac:dyDescent="0.25">
      <c r="A11" t="s">
        <v>44</v>
      </c>
      <c r="B11" s="3">
        <v>45741</v>
      </c>
      <c r="C11">
        <v>1060</v>
      </c>
      <c r="D11" t="s">
        <v>25</v>
      </c>
      <c r="E11" t="s">
        <v>45</v>
      </c>
      <c r="F11" t="s">
        <v>37</v>
      </c>
      <c r="G11">
        <v>5</v>
      </c>
      <c r="H11">
        <v>48284</v>
      </c>
      <c r="I11">
        <v>10</v>
      </c>
      <c r="J11">
        <v>217278</v>
      </c>
      <c r="K11" t="s">
        <v>31</v>
      </c>
      <c r="L11" t="s">
        <v>17</v>
      </c>
      <c r="P11" t="str">
        <f t="shared" si="0"/>
        <v>Mar</v>
      </c>
      <c r="R11" t="str">
        <f t="shared" si="1"/>
        <v>High Sales</v>
      </c>
      <c r="S11" t="str">
        <f t="shared" si="2"/>
        <v>Low Discount</v>
      </c>
      <c r="T11" t="str">
        <f t="shared" si="3"/>
        <v>Pending</v>
      </c>
    </row>
    <row r="12" spans="1:20" hidden="1" x14ac:dyDescent="0.25">
      <c r="A12" t="s">
        <v>46</v>
      </c>
      <c r="B12" s="3">
        <v>45686</v>
      </c>
      <c r="C12">
        <v>1030</v>
      </c>
      <c r="D12" t="s">
        <v>47</v>
      </c>
      <c r="E12" t="s">
        <v>20</v>
      </c>
      <c r="F12" t="s">
        <v>21</v>
      </c>
      <c r="G12">
        <v>2</v>
      </c>
      <c r="H12">
        <v>45366</v>
      </c>
      <c r="I12">
        <v>15</v>
      </c>
      <c r="J12">
        <v>77122.2</v>
      </c>
      <c r="K12" t="s">
        <v>31</v>
      </c>
      <c r="L12" t="s">
        <v>26</v>
      </c>
      <c r="P12" t="str">
        <f t="shared" si="0"/>
        <v>Jan</v>
      </c>
      <c r="R12" t="str">
        <f t="shared" si="1"/>
        <v>High Sales</v>
      </c>
      <c r="S12" t="str">
        <f t="shared" si="2"/>
        <v>Low Discount</v>
      </c>
      <c r="T12" t="str">
        <f t="shared" si="3"/>
        <v>Pending</v>
      </c>
    </row>
    <row r="13" spans="1:20" hidden="1" x14ac:dyDescent="0.25">
      <c r="A13" t="s">
        <v>48</v>
      </c>
      <c r="B13" s="3">
        <v>45819</v>
      </c>
      <c r="C13">
        <v>1028</v>
      </c>
      <c r="D13" t="s">
        <v>49</v>
      </c>
      <c r="E13" t="s">
        <v>36</v>
      </c>
      <c r="F13" t="s">
        <v>37</v>
      </c>
      <c r="G13">
        <v>1</v>
      </c>
      <c r="H13">
        <v>14326</v>
      </c>
      <c r="I13">
        <v>25</v>
      </c>
      <c r="J13">
        <v>10744.5</v>
      </c>
      <c r="K13" t="s">
        <v>41</v>
      </c>
      <c r="L13" t="s">
        <v>17</v>
      </c>
      <c r="P13" t="str">
        <f t="shared" si="0"/>
        <v>Jun</v>
      </c>
      <c r="R13" t="str">
        <f t="shared" si="1"/>
        <v>High Sales</v>
      </c>
      <c r="S13" t="str">
        <f t="shared" si="2"/>
        <v>High Discount</v>
      </c>
      <c r="T13" t="str">
        <f t="shared" si="3"/>
        <v>Pending</v>
      </c>
    </row>
    <row r="14" spans="1:20" hidden="1" x14ac:dyDescent="0.25">
      <c r="A14" t="s">
        <v>50</v>
      </c>
      <c r="B14" s="3">
        <v>45784</v>
      </c>
      <c r="C14">
        <v>1096</v>
      </c>
      <c r="D14" t="s">
        <v>40</v>
      </c>
      <c r="E14" t="s">
        <v>51</v>
      </c>
      <c r="F14" t="s">
        <v>21</v>
      </c>
      <c r="G14">
        <v>2</v>
      </c>
      <c r="H14">
        <v>17859</v>
      </c>
      <c r="I14">
        <v>10</v>
      </c>
      <c r="J14">
        <v>32146.2</v>
      </c>
      <c r="K14" t="s">
        <v>41</v>
      </c>
      <c r="L14" t="s">
        <v>17</v>
      </c>
      <c r="P14" t="str">
        <f t="shared" si="0"/>
        <v>May</v>
      </c>
      <c r="R14" t="str">
        <f t="shared" si="1"/>
        <v>High Sales</v>
      </c>
      <c r="S14" t="str">
        <f t="shared" si="2"/>
        <v>Low Discount</v>
      </c>
      <c r="T14" t="str">
        <f t="shared" si="3"/>
        <v>Pending</v>
      </c>
    </row>
    <row r="15" spans="1:20" hidden="1" x14ac:dyDescent="0.25">
      <c r="A15" t="s">
        <v>52</v>
      </c>
      <c r="B15" s="3">
        <v>45918</v>
      </c>
      <c r="C15">
        <v>1064</v>
      </c>
      <c r="D15" t="s">
        <v>19</v>
      </c>
      <c r="E15" t="s">
        <v>53</v>
      </c>
      <c r="F15" t="s">
        <v>15</v>
      </c>
      <c r="G15">
        <v>3</v>
      </c>
      <c r="H15">
        <v>14873</v>
      </c>
      <c r="I15">
        <v>10</v>
      </c>
      <c r="J15">
        <v>40157.1</v>
      </c>
      <c r="K15" t="s">
        <v>16</v>
      </c>
      <c r="L15" t="s">
        <v>23</v>
      </c>
      <c r="P15" t="str">
        <f t="shared" si="0"/>
        <v>Sep</v>
      </c>
      <c r="R15" t="str">
        <f t="shared" si="1"/>
        <v>High Sales</v>
      </c>
      <c r="S15" t="str">
        <f t="shared" si="2"/>
        <v>Low Discount</v>
      </c>
      <c r="T15" t="str">
        <f t="shared" si="3"/>
        <v>Successful</v>
      </c>
    </row>
    <row r="16" spans="1:20" hidden="1" x14ac:dyDescent="0.25">
      <c r="A16" t="s">
        <v>54</v>
      </c>
      <c r="B16" s="3">
        <v>45963</v>
      </c>
      <c r="C16">
        <v>1009</v>
      </c>
      <c r="D16" t="s">
        <v>25</v>
      </c>
      <c r="E16" t="s">
        <v>45</v>
      </c>
      <c r="F16" t="s">
        <v>37</v>
      </c>
      <c r="G16">
        <v>2</v>
      </c>
      <c r="H16">
        <v>45096</v>
      </c>
      <c r="I16">
        <v>20</v>
      </c>
      <c r="J16">
        <v>72153.600000000006</v>
      </c>
      <c r="K16" t="s">
        <v>41</v>
      </c>
      <c r="L16" t="s">
        <v>17</v>
      </c>
      <c r="P16" t="str">
        <f t="shared" si="0"/>
        <v>Nov</v>
      </c>
      <c r="R16" t="str">
        <f t="shared" si="1"/>
        <v>High Sales</v>
      </c>
      <c r="S16" t="str">
        <f t="shared" si="2"/>
        <v>High Discount</v>
      </c>
      <c r="T16" t="str">
        <f t="shared" si="3"/>
        <v>Pending</v>
      </c>
    </row>
    <row r="17" spans="1:20" hidden="1" x14ac:dyDescent="0.25">
      <c r="A17" t="s">
        <v>55</v>
      </c>
      <c r="B17" s="3">
        <v>45663</v>
      </c>
      <c r="C17">
        <v>1088</v>
      </c>
      <c r="D17" t="s">
        <v>19</v>
      </c>
      <c r="E17" t="s">
        <v>51</v>
      </c>
      <c r="F17" t="s">
        <v>21</v>
      </c>
      <c r="G17">
        <v>5</v>
      </c>
      <c r="H17">
        <v>16976</v>
      </c>
      <c r="I17">
        <v>25</v>
      </c>
      <c r="J17">
        <v>63660</v>
      </c>
      <c r="K17" t="s">
        <v>31</v>
      </c>
      <c r="L17" t="s">
        <v>17</v>
      </c>
      <c r="P17" t="str">
        <f t="shared" si="0"/>
        <v>Jan</v>
      </c>
      <c r="R17" t="str">
        <f t="shared" si="1"/>
        <v>High Sales</v>
      </c>
      <c r="S17" t="str">
        <f t="shared" si="2"/>
        <v>High Discount</v>
      </c>
      <c r="T17" t="str">
        <f t="shared" si="3"/>
        <v>Pending</v>
      </c>
    </row>
    <row r="18" spans="1:20" hidden="1" x14ac:dyDescent="0.25">
      <c r="A18" t="s">
        <v>56</v>
      </c>
      <c r="B18" s="3">
        <v>45738</v>
      </c>
      <c r="C18">
        <v>1059</v>
      </c>
      <c r="D18" t="s">
        <v>47</v>
      </c>
      <c r="E18" t="s">
        <v>43</v>
      </c>
      <c r="F18" t="s">
        <v>15</v>
      </c>
      <c r="G18">
        <v>1</v>
      </c>
      <c r="H18">
        <v>19734</v>
      </c>
      <c r="I18">
        <v>20</v>
      </c>
      <c r="J18">
        <v>15787.2</v>
      </c>
      <c r="K18" t="s">
        <v>31</v>
      </c>
      <c r="L18" t="s">
        <v>17</v>
      </c>
      <c r="P18" t="str">
        <f t="shared" si="0"/>
        <v>Mar</v>
      </c>
      <c r="R18" t="str">
        <f t="shared" si="1"/>
        <v>High Sales</v>
      </c>
      <c r="S18" t="str">
        <f t="shared" si="2"/>
        <v>High Discount</v>
      </c>
      <c r="T18" t="str">
        <f t="shared" si="3"/>
        <v>Pending</v>
      </c>
    </row>
    <row r="19" spans="1:20" x14ac:dyDescent="0.25">
      <c r="A19" t="s">
        <v>57</v>
      </c>
      <c r="B19" s="3">
        <v>45985</v>
      </c>
      <c r="C19">
        <v>1065</v>
      </c>
      <c r="D19" t="s">
        <v>58</v>
      </c>
      <c r="E19" t="s">
        <v>45</v>
      </c>
      <c r="F19" t="s">
        <v>37</v>
      </c>
      <c r="G19">
        <v>5</v>
      </c>
      <c r="H19">
        <v>7473</v>
      </c>
      <c r="I19">
        <v>15</v>
      </c>
      <c r="J19">
        <v>31760.25</v>
      </c>
      <c r="K19" t="s">
        <v>22</v>
      </c>
      <c r="L19" t="s">
        <v>26</v>
      </c>
      <c r="P19" t="str">
        <f t="shared" si="0"/>
        <v>Nov</v>
      </c>
      <c r="R19" t="str">
        <f t="shared" si="1"/>
        <v>High Sales</v>
      </c>
      <c r="S19" t="str">
        <f t="shared" si="2"/>
        <v>Low Discount</v>
      </c>
      <c r="T19" t="str">
        <f t="shared" si="3"/>
        <v>Pending</v>
      </c>
    </row>
    <row r="20" spans="1:20" hidden="1" x14ac:dyDescent="0.25">
      <c r="A20" t="s">
        <v>59</v>
      </c>
      <c r="B20" s="3">
        <v>45964</v>
      </c>
      <c r="C20">
        <v>1042</v>
      </c>
      <c r="D20" t="s">
        <v>49</v>
      </c>
      <c r="E20" t="s">
        <v>45</v>
      </c>
      <c r="F20" t="s">
        <v>37</v>
      </c>
      <c r="G20">
        <v>5</v>
      </c>
      <c r="H20">
        <v>35257</v>
      </c>
      <c r="I20">
        <v>5</v>
      </c>
      <c r="J20">
        <v>167470.75</v>
      </c>
      <c r="K20" t="s">
        <v>16</v>
      </c>
      <c r="L20" t="s">
        <v>23</v>
      </c>
      <c r="P20" t="str">
        <f t="shared" si="0"/>
        <v>Nov</v>
      </c>
      <c r="R20" t="str">
        <f t="shared" si="1"/>
        <v>High Sales</v>
      </c>
      <c r="S20" t="str">
        <f t="shared" si="2"/>
        <v>Low Discount</v>
      </c>
      <c r="T20" t="str">
        <f t="shared" si="3"/>
        <v>Successful</v>
      </c>
    </row>
    <row r="21" spans="1:20" hidden="1" x14ac:dyDescent="0.25">
      <c r="A21" t="s">
        <v>60</v>
      </c>
      <c r="B21" s="3">
        <v>45781</v>
      </c>
      <c r="C21">
        <v>1073</v>
      </c>
      <c r="D21" t="s">
        <v>19</v>
      </c>
      <c r="E21" t="s">
        <v>43</v>
      </c>
      <c r="F21" t="s">
        <v>15</v>
      </c>
      <c r="G21">
        <v>3</v>
      </c>
      <c r="H21">
        <v>16192</v>
      </c>
      <c r="I21">
        <v>5</v>
      </c>
      <c r="J21">
        <v>46147.199999999997</v>
      </c>
      <c r="K21" t="s">
        <v>16</v>
      </c>
      <c r="L21" t="s">
        <v>17</v>
      </c>
      <c r="P21" t="str">
        <f t="shared" si="0"/>
        <v>May</v>
      </c>
      <c r="R21" t="str">
        <f t="shared" si="1"/>
        <v>High Sales</v>
      </c>
      <c r="S21" t="str">
        <f t="shared" si="2"/>
        <v>Low Discount</v>
      </c>
      <c r="T21" t="str">
        <f t="shared" si="3"/>
        <v>Pending</v>
      </c>
    </row>
    <row r="22" spans="1:20" x14ac:dyDescent="0.25">
      <c r="A22" t="s">
        <v>61</v>
      </c>
      <c r="B22" s="3">
        <v>45723</v>
      </c>
      <c r="C22">
        <v>1085</v>
      </c>
      <c r="D22" t="s">
        <v>49</v>
      </c>
      <c r="E22" t="s">
        <v>51</v>
      </c>
      <c r="F22" t="s">
        <v>21</v>
      </c>
      <c r="G22">
        <v>1</v>
      </c>
      <c r="H22">
        <v>35411</v>
      </c>
      <c r="I22">
        <v>10</v>
      </c>
      <c r="J22">
        <v>31869.9</v>
      </c>
      <c r="K22" t="s">
        <v>22</v>
      </c>
      <c r="L22" t="s">
        <v>26</v>
      </c>
      <c r="P22" t="str">
        <f t="shared" si="0"/>
        <v>Mar</v>
      </c>
      <c r="R22" t="str">
        <f t="shared" si="1"/>
        <v>High Sales</v>
      </c>
      <c r="S22" t="str">
        <f t="shared" si="2"/>
        <v>Low Discount</v>
      </c>
      <c r="T22" t="str">
        <f t="shared" si="3"/>
        <v>Pending</v>
      </c>
    </row>
    <row r="23" spans="1:20" hidden="1" x14ac:dyDescent="0.25">
      <c r="A23" t="s">
        <v>62</v>
      </c>
      <c r="B23" s="3">
        <v>45934</v>
      </c>
      <c r="C23">
        <v>1097</v>
      </c>
      <c r="D23" t="s">
        <v>58</v>
      </c>
      <c r="E23" t="s">
        <v>20</v>
      </c>
      <c r="F23" t="s">
        <v>21</v>
      </c>
      <c r="G23">
        <v>5</v>
      </c>
      <c r="H23">
        <v>28230</v>
      </c>
      <c r="I23">
        <v>10</v>
      </c>
      <c r="J23">
        <v>127035</v>
      </c>
      <c r="K23" t="s">
        <v>31</v>
      </c>
      <c r="L23" t="s">
        <v>26</v>
      </c>
      <c r="P23" t="str">
        <f t="shared" si="0"/>
        <v>Oct</v>
      </c>
      <c r="R23" t="str">
        <f t="shared" si="1"/>
        <v>High Sales</v>
      </c>
      <c r="S23" t="str">
        <f t="shared" si="2"/>
        <v>Low Discount</v>
      </c>
      <c r="T23" t="str">
        <f t="shared" si="3"/>
        <v>Pending</v>
      </c>
    </row>
    <row r="24" spans="1:20" hidden="1" x14ac:dyDescent="0.25">
      <c r="A24" t="s">
        <v>63</v>
      </c>
      <c r="B24" s="3">
        <v>45719</v>
      </c>
      <c r="C24">
        <v>1032</v>
      </c>
      <c r="D24" t="s">
        <v>58</v>
      </c>
      <c r="E24" t="s">
        <v>43</v>
      </c>
      <c r="F24" t="s">
        <v>15</v>
      </c>
      <c r="G24">
        <v>4</v>
      </c>
      <c r="H24">
        <v>34419</v>
      </c>
      <c r="I24">
        <v>20</v>
      </c>
      <c r="J24">
        <v>110140.8</v>
      </c>
      <c r="K24" t="s">
        <v>16</v>
      </c>
      <c r="L24" t="s">
        <v>26</v>
      </c>
      <c r="P24" t="str">
        <f t="shared" si="0"/>
        <v>Mar</v>
      </c>
      <c r="R24" t="str">
        <f t="shared" si="1"/>
        <v>High Sales</v>
      </c>
      <c r="S24" t="str">
        <f t="shared" si="2"/>
        <v>High Discount</v>
      </c>
      <c r="T24" t="str">
        <f t="shared" si="3"/>
        <v>Pending</v>
      </c>
    </row>
    <row r="25" spans="1:20" hidden="1" x14ac:dyDescent="0.25">
      <c r="A25" t="s">
        <v>64</v>
      </c>
      <c r="B25" s="3">
        <v>45959</v>
      </c>
      <c r="C25">
        <v>1029</v>
      </c>
      <c r="D25" t="s">
        <v>47</v>
      </c>
      <c r="E25" t="s">
        <v>65</v>
      </c>
      <c r="F25" t="s">
        <v>15</v>
      </c>
      <c r="G25">
        <v>5</v>
      </c>
      <c r="H25">
        <v>36801</v>
      </c>
      <c r="I25">
        <v>10</v>
      </c>
      <c r="J25">
        <v>165604.5</v>
      </c>
      <c r="K25" t="s">
        <v>16</v>
      </c>
      <c r="L25" t="s">
        <v>17</v>
      </c>
      <c r="P25" t="str">
        <f t="shared" si="0"/>
        <v>Oct</v>
      </c>
      <c r="R25" t="str">
        <f t="shared" si="1"/>
        <v>High Sales</v>
      </c>
      <c r="S25" t="str">
        <f t="shared" si="2"/>
        <v>Low Discount</v>
      </c>
      <c r="T25" t="str">
        <f t="shared" si="3"/>
        <v>Pending</v>
      </c>
    </row>
    <row r="26" spans="1:20" hidden="1" x14ac:dyDescent="0.25">
      <c r="A26" t="s">
        <v>66</v>
      </c>
      <c r="B26" s="3">
        <v>45827</v>
      </c>
      <c r="C26">
        <v>1010</v>
      </c>
      <c r="D26" t="s">
        <v>58</v>
      </c>
      <c r="E26" t="s">
        <v>65</v>
      </c>
      <c r="F26" t="s">
        <v>15</v>
      </c>
      <c r="G26">
        <v>2</v>
      </c>
      <c r="H26">
        <v>4917</v>
      </c>
      <c r="I26">
        <v>5</v>
      </c>
      <c r="J26">
        <v>9342.2999999999993</v>
      </c>
      <c r="K26" t="s">
        <v>31</v>
      </c>
      <c r="L26" t="s">
        <v>17</v>
      </c>
      <c r="P26" t="str">
        <f t="shared" si="0"/>
        <v>Jun</v>
      </c>
      <c r="R26" t="str">
        <f t="shared" si="1"/>
        <v>High Sales</v>
      </c>
      <c r="S26" t="str">
        <f t="shared" si="2"/>
        <v>Low Discount</v>
      </c>
      <c r="T26" t="str">
        <f t="shared" si="3"/>
        <v>Pending</v>
      </c>
    </row>
    <row r="27" spans="1:20" x14ac:dyDescent="0.25">
      <c r="A27" t="s">
        <v>67</v>
      </c>
      <c r="B27" s="3">
        <v>45950</v>
      </c>
      <c r="C27">
        <v>1074</v>
      </c>
      <c r="D27" t="s">
        <v>49</v>
      </c>
      <c r="E27" t="s">
        <v>51</v>
      </c>
      <c r="F27" t="s">
        <v>21</v>
      </c>
      <c r="G27">
        <v>2</v>
      </c>
      <c r="H27">
        <v>35839</v>
      </c>
      <c r="I27">
        <v>10</v>
      </c>
      <c r="J27">
        <v>64510.2</v>
      </c>
      <c r="K27" t="s">
        <v>22</v>
      </c>
      <c r="L27" t="s">
        <v>26</v>
      </c>
      <c r="P27" t="str">
        <f t="shared" si="0"/>
        <v>Oct</v>
      </c>
      <c r="R27" t="str">
        <f t="shared" si="1"/>
        <v>High Sales</v>
      </c>
      <c r="S27" t="str">
        <f t="shared" si="2"/>
        <v>Low Discount</v>
      </c>
      <c r="T27" t="str">
        <f t="shared" si="3"/>
        <v>Pending</v>
      </c>
    </row>
    <row r="28" spans="1:20" hidden="1" x14ac:dyDescent="0.25">
      <c r="A28" t="s">
        <v>68</v>
      </c>
      <c r="B28" s="3">
        <v>45995</v>
      </c>
      <c r="C28">
        <v>1056</v>
      </c>
      <c r="D28" t="s">
        <v>28</v>
      </c>
      <c r="E28" t="s">
        <v>53</v>
      </c>
      <c r="F28" t="s">
        <v>15</v>
      </c>
      <c r="G28">
        <v>2</v>
      </c>
      <c r="H28">
        <v>6681</v>
      </c>
      <c r="I28">
        <v>5</v>
      </c>
      <c r="J28">
        <v>12693.9</v>
      </c>
      <c r="K28" t="s">
        <v>41</v>
      </c>
      <c r="L28" t="s">
        <v>26</v>
      </c>
      <c r="P28" t="str">
        <f t="shared" si="0"/>
        <v>Dec</v>
      </c>
      <c r="R28" t="str">
        <f t="shared" si="1"/>
        <v>High Sales</v>
      </c>
      <c r="S28" t="str">
        <f t="shared" si="2"/>
        <v>Low Discount</v>
      </c>
      <c r="T28" t="str">
        <f t="shared" si="3"/>
        <v>Pending</v>
      </c>
    </row>
    <row r="29" spans="1:20" hidden="1" x14ac:dyDescent="0.25">
      <c r="A29" t="s">
        <v>69</v>
      </c>
      <c r="B29" s="3">
        <v>45689</v>
      </c>
      <c r="C29">
        <v>1052</v>
      </c>
      <c r="D29" t="s">
        <v>28</v>
      </c>
      <c r="E29" t="s">
        <v>51</v>
      </c>
      <c r="F29" t="s">
        <v>21</v>
      </c>
      <c r="G29">
        <v>1</v>
      </c>
      <c r="H29">
        <v>44629</v>
      </c>
      <c r="I29">
        <v>5</v>
      </c>
      <c r="J29">
        <v>42397.55</v>
      </c>
      <c r="K29" t="s">
        <v>16</v>
      </c>
      <c r="L29" t="s">
        <v>23</v>
      </c>
      <c r="P29" t="str">
        <f t="shared" si="0"/>
        <v>Feb</v>
      </c>
      <c r="R29" t="str">
        <f t="shared" si="1"/>
        <v>High Sales</v>
      </c>
      <c r="S29" t="str">
        <f t="shared" si="2"/>
        <v>Low Discount</v>
      </c>
      <c r="T29" t="str">
        <f t="shared" si="3"/>
        <v>Successful</v>
      </c>
    </row>
    <row r="30" spans="1:20" hidden="1" x14ac:dyDescent="0.25">
      <c r="A30" t="s">
        <v>70</v>
      </c>
      <c r="B30" s="3">
        <v>45729</v>
      </c>
      <c r="C30">
        <v>1055</v>
      </c>
      <c r="D30" t="s">
        <v>13</v>
      </c>
      <c r="E30" t="s">
        <v>33</v>
      </c>
      <c r="F30" t="s">
        <v>34</v>
      </c>
      <c r="G30">
        <v>2</v>
      </c>
      <c r="H30">
        <v>35646</v>
      </c>
      <c r="I30">
        <v>20</v>
      </c>
      <c r="J30">
        <v>57033.599999999999</v>
      </c>
      <c r="K30" t="s">
        <v>31</v>
      </c>
      <c r="L30" t="s">
        <v>26</v>
      </c>
      <c r="P30" t="str">
        <f t="shared" si="0"/>
        <v>Mar</v>
      </c>
      <c r="R30" t="str">
        <f t="shared" si="1"/>
        <v>High Sales</v>
      </c>
      <c r="S30" t="str">
        <f t="shared" si="2"/>
        <v>High Discount</v>
      </c>
      <c r="T30" t="str">
        <f t="shared" si="3"/>
        <v>Pending</v>
      </c>
    </row>
    <row r="31" spans="1:20" hidden="1" x14ac:dyDescent="0.25">
      <c r="A31" t="s">
        <v>71</v>
      </c>
      <c r="B31" s="3">
        <v>45708</v>
      </c>
      <c r="C31">
        <v>1007</v>
      </c>
      <c r="D31" t="s">
        <v>47</v>
      </c>
      <c r="E31" t="s">
        <v>33</v>
      </c>
      <c r="F31" t="s">
        <v>34</v>
      </c>
      <c r="G31">
        <v>1</v>
      </c>
      <c r="H31">
        <v>29541</v>
      </c>
      <c r="I31">
        <v>25</v>
      </c>
      <c r="J31">
        <v>22155.75</v>
      </c>
      <c r="K31" t="s">
        <v>16</v>
      </c>
      <c r="L31" t="s">
        <v>23</v>
      </c>
      <c r="P31" t="str">
        <f t="shared" si="0"/>
        <v>Feb</v>
      </c>
      <c r="R31" t="str">
        <f t="shared" si="1"/>
        <v>High Sales</v>
      </c>
      <c r="S31" t="str">
        <f t="shared" si="2"/>
        <v>High Discount</v>
      </c>
      <c r="T31" t="str">
        <f t="shared" si="3"/>
        <v>Successful</v>
      </c>
    </row>
    <row r="32" spans="1:20" x14ac:dyDescent="0.25">
      <c r="A32" t="s">
        <v>72</v>
      </c>
      <c r="B32" s="3">
        <v>45767</v>
      </c>
      <c r="C32">
        <v>1052</v>
      </c>
      <c r="D32" t="s">
        <v>47</v>
      </c>
      <c r="E32" t="s">
        <v>45</v>
      </c>
      <c r="F32" t="s">
        <v>37</v>
      </c>
      <c r="G32">
        <v>4</v>
      </c>
      <c r="H32">
        <v>32326</v>
      </c>
      <c r="I32">
        <v>20</v>
      </c>
      <c r="J32">
        <v>103443.2</v>
      </c>
      <c r="K32" t="s">
        <v>22</v>
      </c>
      <c r="L32" t="s">
        <v>26</v>
      </c>
      <c r="P32" t="str">
        <f t="shared" si="0"/>
        <v>Apr</v>
      </c>
      <c r="R32" t="str">
        <f t="shared" si="1"/>
        <v>High Sales</v>
      </c>
      <c r="S32" t="str">
        <f t="shared" si="2"/>
        <v>High Discount</v>
      </c>
      <c r="T32" t="str">
        <f t="shared" si="3"/>
        <v>Pending</v>
      </c>
    </row>
    <row r="33" spans="1:20" x14ac:dyDescent="0.25">
      <c r="A33" t="s">
        <v>73</v>
      </c>
      <c r="B33" s="3">
        <v>45804</v>
      </c>
      <c r="C33">
        <v>1055</v>
      </c>
      <c r="D33" t="s">
        <v>49</v>
      </c>
      <c r="E33" t="s">
        <v>65</v>
      </c>
      <c r="F33" t="s">
        <v>15</v>
      </c>
      <c r="G33">
        <v>4</v>
      </c>
      <c r="H33">
        <v>17880</v>
      </c>
      <c r="I33">
        <v>20</v>
      </c>
      <c r="J33">
        <v>57216</v>
      </c>
      <c r="K33" t="s">
        <v>22</v>
      </c>
      <c r="L33" t="s">
        <v>23</v>
      </c>
      <c r="P33" t="str">
        <f t="shared" si="0"/>
        <v>May</v>
      </c>
      <c r="R33" t="str">
        <f t="shared" si="1"/>
        <v>High Sales</v>
      </c>
      <c r="S33" t="str">
        <f t="shared" si="2"/>
        <v>High Discount</v>
      </c>
      <c r="T33" t="str">
        <f t="shared" si="3"/>
        <v>Successful</v>
      </c>
    </row>
    <row r="34" spans="1:20" hidden="1" x14ac:dyDescent="0.25">
      <c r="A34" t="s">
        <v>74</v>
      </c>
      <c r="B34" s="3">
        <v>45935</v>
      </c>
      <c r="C34">
        <v>1008</v>
      </c>
      <c r="D34" t="s">
        <v>28</v>
      </c>
      <c r="E34" t="s">
        <v>36</v>
      </c>
      <c r="F34" t="s">
        <v>37</v>
      </c>
      <c r="G34">
        <v>2</v>
      </c>
      <c r="H34">
        <v>4332</v>
      </c>
      <c r="I34">
        <v>25</v>
      </c>
      <c r="J34">
        <v>6498</v>
      </c>
      <c r="K34" t="s">
        <v>16</v>
      </c>
      <c r="L34" t="s">
        <v>23</v>
      </c>
      <c r="P34" t="str">
        <f t="shared" si="0"/>
        <v>Oct</v>
      </c>
      <c r="R34" t="str">
        <f t="shared" si="1"/>
        <v>High Sales</v>
      </c>
      <c r="S34" t="str">
        <f t="shared" si="2"/>
        <v>High Discount</v>
      </c>
      <c r="T34" t="str">
        <f t="shared" si="3"/>
        <v>Successful</v>
      </c>
    </row>
    <row r="35" spans="1:20" x14ac:dyDescent="0.25">
      <c r="A35" t="s">
        <v>75</v>
      </c>
      <c r="B35" s="3">
        <v>45738</v>
      </c>
      <c r="C35">
        <v>1008</v>
      </c>
      <c r="D35" t="s">
        <v>19</v>
      </c>
      <c r="E35" t="s">
        <v>29</v>
      </c>
      <c r="F35" t="s">
        <v>30</v>
      </c>
      <c r="G35">
        <v>4</v>
      </c>
      <c r="H35">
        <v>33454</v>
      </c>
      <c r="I35">
        <v>25</v>
      </c>
      <c r="J35">
        <v>100362</v>
      </c>
      <c r="K35" t="s">
        <v>22</v>
      </c>
      <c r="L35" t="s">
        <v>23</v>
      </c>
      <c r="P35" t="str">
        <f t="shared" si="0"/>
        <v>Mar</v>
      </c>
      <c r="R35" t="str">
        <f t="shared" si="1"/>
        <v>High Sales</v>
      </c>
      <c r="S35" t="str">
        <f t="shared" si="2"/>
        <v>High Discount</v>
      </c>
      <c r="T35" t="str">
        <f t="shared" si="3"/>
        <v>Successful</v>
      </c>
    </row>
    <row r="36" spans="1:20" hidden="1" x14ac:dyDescent="0.25">
      <c r="A36" t="s">
        <v>76</v>
      </c>
      <c r="B36" s="3">
        <v>45864</v>
      </c>
      <c r="C36">
        <v>1016</v>
      </c>
      <c r="D36" t="s">
        <v>58</v>
      </c>
      <c r="E36" t="s">
        <v>29</v>
      </c>
      <c r="F36" t="s">
        <v>30</v>
      </c>
      <c r="G36">
        <v>1</v>
      </c>
      <c r="H36">
        <v>44750</v>
      </c>
      <c r="I36">
        <v>10</v>
      </c>
      <c r="J36">
        <v>40275</v>
      </c>
      <c r="K36" t="s">
        <v>16</v>
      </c>
      <c r="L36" t="s">
        <v>17</v>
      </c>
      <c r="P36" t="str">
        <f t="shared" si="0"/>
        <v>Jul</v>
      </c>
      <c r="R36" t="str">
        <f t="shared" si="1"/>
        <v>High Sales</v>
      </c>
      <c r="S36" t="str">
        <f t="shared" si="2"/>
        <v>Low Discount</v>
      </c>
      <c r="T36" t="str">
        <f t="shared" si="3"/>
        <v>Pending</v>
      </c>
    </row>
    <row r="37" spans="1:20" hidden="1" x14ac:dyDescent="0.25">
      <c r="A37" t="s">
        <v>77</v>
      </c>
      <c r="B37" s="3">
        <v>45947</v>
      </c>
      <c r="C37">
        <v>1067</v>
      </c>
      <c r="D37" t="s">
        <v>28</v>
      </c>
      <c r="E37" t="s">
        <v>14</v>
      </c>
      <c r="F37" t="s">
        <v>15</v>
      </c>
      <c r="G37">
        <v>4</v>
      </c>
      <c r="H37">
        <v>43581</v>
      </c>
      <c r="I37">
        <v>25</v>
      </c>
      <c r="J37">
        <v>130743</v>
      </c>
      <c r="K37" t="s">
        <v>31</v>
      </c>
      <c r="L37" t="s">
        <v>23</v>
      </c>
      <c r="P37" t="str">
        <f t="shared" si="0"/>
        <v>Oct</v>
      </c>
      <c r="R37" t="str">
        <f t="shared" si="1"/>
        <v>High Sales</v>
      </c>
      <c r="S37" t="str">
        <f t="shared" si="2"/>
        <v>High Discount</v>
      </c>
      <c r="T37" t="str">
        <f t="shared" si="3"/>
        <v>Successful</v>
      </c>
    </row>
    <row r="38" spans="1:20" hidden="1" x14ac:dyDescent="0.25">
      <c r="A38" t="s">
        <v>78</v>
      </c>
      <c r="B38" s="3">
        <v>45725</v>
      </c>
      <c r="C38">
        <v>1086</v>
      </c>
      <c r="D38" t="s">
        <v>40</v>
      </c>
      <c r="E38" t="s">
        <v>43</v>
      </c>
      <c r="F38" t="s">
        <v>15</v>
      </c>
      <c r="G38">
        <v>2</v>
      </c>
      <c r="H38">
        <v>17907</v>
      </c>
      <c r="I38">
        <v>20</v>
      </c>
      <c r="J38">
        <v>28651.200000000001</v>
      </c>
      <c r="K38" t="s">
        <v>41</v>
      </c>
      <c r="L38" t="s">
        <v>26</v>
      </c>
      <c r="P38" t="str">
        <f t="shared" si="0"/>
        <v>Mar</v>
      </c>
      <c r="R38" t="str">
        <f t="shared" si="1"/>
        <v>High Sales</v>
      </c>
      <c r="S38" t="str">
        <f t="shared" si="2"/>
        <v>High Discount</v>
      </c>
      <c r="T38" t="str">
        <f t="shared" si="3"/>
        <v>Pending</v>
      </c>
    </row>
    <row r="39" spans="1:20" x14ac:dyDescent="0.25">
      <c r="A39" t="s">
        <v>79</v>
      </c>
      <c r="B39" s="3">
        <v>45946</v>
      </c>
      <c r="C39">
        <v>1013</v>
      </c>
      <c r="D39" t="s">
        <v>19</v>
      </c>
      <c r="E39" t="s">
        <v>14</v>
      </c>
      <c r="F39" t="s">
        <v>15</v>
      </c>
      <c r="G39">
        <v>1</v>
      </c>
      <c r="H39">
        <v>30534</v>
      </c>
      <c r="I39">
        <v>25</v>
      </c>
      <c r="J39">
        <v>22900.5</v>
      </c>
      <c r="K39" t="s">
        <v>22</v>
      </c>
      <c r="L39" t="s">
        <v>17</v>
      </c>
      <c r="P39" t="str">
        <f t="shared" si="0"/>
        <v>Oct</v>
      </c>
      <c r="R39" t="str">
        <f t="shared" si="1"/>
        <v>High Sales</v>
      </c>
      <c r="S39" t="str">
        <f t="shared" si="2"/>
        <v>High Discount</v>
      </c>
      <c r="T39" t="str">
        <f t="shared" si="3"/>
        <v>Pending</v>
      </c>
    </row>
    <row r="40" spans="1:20" x14ac:dyDescent="0.25">
      <c r="A40" t="s">
        <v>80</v>
      </c>
      <c r="B40" s="3">
        <v>45783</v>
      </c>
      <c r="C40">
        <v>1048</v>
      </c>
      <c r="D40" t="s">
        <v>40</v>
      </c>
      <c r="E40" t="s">
        <v>36</v>
      </c>
      <c r="F40" t="s">
        <v>37</v>
      </c>
      <c r="G40">
        <v>2</v>
      </c>
      <c r="H40">
        <v>23372</v>
      </c>
      <c r="I40">
        <v>5</v>
      </c>
      <c r="J40">
        <v>44406.8</v>
      </c>
      <c r="K40" t="s">
        <v>22</v>
      </c>
      <c r="L40" t="s">
        <v>26</v>
      </c>
      <c r="P40" t="str">
        <f t="shared" si="0"/>
        <v>May</v>
      </c>
      <c r="R40" t="str">
        <f t="shared" si="1"/>
        <v>High Sales</v>
      </c>
      <c r="S40" t="str">
        <f t="shared" si="2"/>
        <v>Low Discount</v>
      </c>
      <c r="T40" t="str">
        <f t="shared" si="3"/>
        <v>Pending</v>
      </c>
    </row>
    <row r="41" spans="1:20" hidden="1" x14ac:dyDescent="0.25">
      <c r="A41" t="s">
        <v>81</v>
      </c>
      <c r="B41" s="3">
        <v>45662</v>
      </c>
      <c r="C41">
        <v>1086</v>
      </c>
      <c r="D41" t="s">
        <v>40</v>
      </c>
      <c r="E41" t="s">
        <v>20</v>
      </c>
      <c r="F41" t="s">
        <v>21</v>
      </c>
      <c r="G41">
        <v>3</v>
      </c>
      <c r="H41">
        <v>40586</v>
      </c>
      <c r="I41">
        <v>25</v>
      </c>
      <c r="J41">
        <v>91318.5</v>
      </c>
      <c r="K41" t="s">
        <v>16</v>
      </c>
      <c r="L41" t="s">
        <v>23</v>
      </c>
      <c r="P41" t="str">
        <f t="shared" si="0"/>
        <v>Jan</v>
      </c>
      <c r="R41" t="str">
        <f t="shared" si="1"/>
        <v>High Sales</v>
      </c>
      <c r="S41" t="str">
        <f t="shared" si="2"/>
        <v>High Discount</v>
      </c>
      <c r="T41" t="str">
        <f t="shared" si="3"/>
        <v>Successful</v>
      </c>
    </row>
    <row r="42" spans="1:20" x14ac:dyDescent="0.25">
      <c r="A42" t="s">
        <v>82</v>
      </c>
      <c r="B42" s="3">
        <v>45737</v>
      </c>
      <c r="C42">
        <v>1035</v>
      </c>
      <c r="D42" t="s">
        <v>40</v>
      </c>
      <c r="E42" t="s">
        <v>36</v>
      </c>
      <c r="F42" t="s">
        <v>37</v>
      </c>
      <c r="G42">
        <v>1</v>
      </c>
      <c r="H42">
        <v>7514</v>
      </c>
      <c r="I42">
        <v>25</v>
      </c>
      <c r="J42">
        <v>5635.5</v>
      </c>
      <c r="K42" t="s">
        <v>22</v>
      </c>
      <c r="L42" t="s">
        <v>17</v>
      </c>
      <c r="P42" t="str">
        <f t="shared" si="0"/>
        <v>Mar</v>
      </c>
      <c r="R42" t="str">
        <f t="shared" si="1"/>
        <v>High Sales</v>
      </c>
      <c r="S42" t="str">
        <f t="shared" si="2"/>
        <v>High Discount</v>
      </c>
      <c r="T42" t="str">
        <f t="shared" si="3"/>
        <v>Pending</v>
      </c>
    </row>
    <row r="43" spans="1:20" hidden="1" x14ac:dyDescent="0.25">
      <c r="A43" t="s">
        <v>83</v>
      </c>
      <c r="B43" s="3">
        <v>45916</v>
      </c>
      <c r="C43">
        <v>1063</v>
      </c>
      <c r="D43" t="s">
        <v>40</v>
      </c>
      <c r="E43" t="s">
        <v>43</v>
      </c>
      <c r="F43" t="s">
        <v>15</v>
      </c>
      <c r="G43">
        <v>2</v>
      </c>
      <c r="H43">
        <v>45555</v>
      </c>
      <c r="I43">
        <v>15</v>
      </c>
      <c r="J43">
        <v>77443.5</v>
      </c>
      <c r="K43" t="s">
        <v>16</v>
      </c>
      <c r="L43" t="s">
        <v>23</v>
      </c>
      <c r="P43" t="str">
        <f t="shared" si="0"/>
        <v>Sep</v>
      </c>
      <c r="R43" t="str">
        <f t="shared" si="1"/>
        <v>High Sales</v>
      </c>
      <c r="S43" t="str">
        <f t="shared" si="2"/>
        <v>Low Discount</v>
      </c>
      <c r="T43" t="str">
        <f t="shared" si="3"/>
        <v>Successful</v>
      </c>
    </row>
    <row r="44" spans="1:20" hidden="1" x14ac:dyDescent="0.25">
      <c r="A44" t="s">
        <v>84</v>
      </c>
      <c r="B44" s="3">
        <v>45828</v>
      </c>
      <c r="C44">
        <v>1099</v>
      </c>
      <c r="D44" t="s">
        <v>13</v>
      </c>
      <c r="E44" t="s">
        <v>53</v>
      </c>
      <c r="F44" t="s">
        <v>15</v>
      </c>
      <c r="G44">
        <v>3</v>
      </c>
      <c r="H44">
        <v>3389</v>
      </c>
      <c r="I44">
        <v>5</v>
      </c>
      <c r="J44">
        <v>9658.65</v>
      </c>
      <c r="K44" t="s">
        <v>31</v>
      </c>
      <c r="L44" t="s">
        <v>23</v>
      </c>
      <c r="P44" t="str">
        <f t="shared" si="0"/>
        <v>Jun</v>
      </c>
      <c r="R44" t="str">
        <f t="shared" si="1"/>
        <v>High Sales</v>
      </c>
      <c r="S44" t="str">
        <f t="shared" si="2"/>
        <v>Low Discount</v>
      </c>
      <c r="T44" t="str">
        <f t="shared" si="3"/>
        <v>Successful</v>
      </c>
    </row>
    <row r="45" spans="1:20" hidden="1" x14ac:dyDescent="0.25">
      <c r="A45" t="s">
        <v>85</v>
      </c>
      <c r="B45" s="3">
        <v>45945</v>
      </c>
      <c r="C45">
        <v>1002</v>
      </c>
      <c r="D45" t="s">
        <v>19</v>
      </c>
      <c r="E45" t="s">
        <v>51</v>
      </c>
      <c r="F45" t="s">
        <v>21</v>
      </c>
      <c r="G45">
        <v>5</v>
      </c>
      <c r="H45">
        <v>46746</v>
      </c>
      <c r="I45">
        <v>20</v>
      </c>
      <c r="J45">
        <v>186984</v>
      </c>
      <c r="K45" t="s">
        <v>16</v>
      </c>
      <c r="L45" t="s">
        <v>17</v>
      </c>
      <c r="P45" t="str">
        <f t="shared" si="0"/>
        <v>Oct</v>
      </c>
      <c r="R45" t="str">
        <f t="shared" si="1"/>
        <v>High Sales</v>
      </c>
      <c r="S45" t="str">
        <f t="shared" si="2"/>
        <v>High Discount</v>
      </c>
      <c r="T45" t="str">
        <f t="shared" si="3"/>
        <v>Pending</v>
      </c>
    </row>
    <row r="46" spans="1:20" hidden="1" x14ac:dyDescent="0.25">
      <c r="A46" t="s">
        <v>86</v>
      </c>
      <c r="B46" s="3">
        <v>45956</v>
      </c>
      <c r="C46">
        <v>1071</v>
      </c>
      <c r="D46" t="s">
        <v>13</v>
      </c>
      <c r="E46" t="s">
        <v>45</v>
      </c>
      <c r="F46" t="s">
        <v>37</v>
      </c>
      <c r="G46">
        <v>5</v>
      </c>
      <c r="H46">
        <v>2861</v>
      </c>
      <c r="I46">
        <v>15</v>
      </c>
      <c r="J46">
        <v>12159.25</v>
      </c>
      <c r="K46" t="s">
        <v>41</v>
      </c>
      <c r="L46" t="s">
        <v>23</v>
      </c>
      <c r="P46" t="str">
        <f t="shared" si="0"/>
        <v>Oct</v>
      </c>
      <c r="R46" t="str">
        <f t="shared" si="1"/>
        <v>High Sales</v>
      </c>
      <c r="S46" t="str">
        <f t="shared" si="2"/>
        <v>Low Discount</v>
      </c>
      <c r="T46" t="str">
        <f t="shared" si="3"/>
        <v>Successful</v>
      </c>
    </row>
    <row r="47" spans="1:20" hidden="1" x14ac:dyDescent="0.25">
      <c r="A47" t="s">
        <v>87</v>
      </c>
      <c r="B47" s="3">
        <v>45841</v>
      </c>
      <c r="C47">
        <v>1027</v>
      </c>
      <c r="D47" t="s">
        <v>58</v>
      </c>
      <c r="E47" t="s">
        <v>65</v>
      </c>
      <c r="F47" t="s">
        <v>15</v>
      </c>
      <c r="G47">
        <v>3</v>
      </c>
      <c r="H47">
        <v>24397</v>
      </c>
      <c r="I47">
        <v>5</v>
      </c>
      <c r="J47">
        <v>69531.45</v>
      </c>
      <c r="K47" t="s">
        <v>16</v>
      </c>
      <c r="L47" t="s">
        <v>26</v>
      </c>
      <c r="P47" t="str">
        <f t="shared" si="0"/>
        <v>Jul</v>
      </c>
      <c r="R47" t="str">
        <f t="shared" si="1"/>
        <v>High Sales</v>
      </c>
      <c r="S47" t="str">
        <f t="shared" si="2"/>
        <v>Low Discount</v>
      </c>
      <c r="T47" t="str">
        <f t="shared" si="3"/>
        <v>Pending</v>
      </c>
    </row>
    <row r="48" spans="1:20" hidden="1" x14ac:dyDescent="0.25">
      <c r="A48" t="s">
        <v>88</v>
      </c>
      <c r="B48" s="3">
        <v>45779</v>
      </c>
      <c r="C48">
        <v>1021</v>
      </c>
      <c r="D48" t="s">
        <v>13</v>
      </c>
      <c r="E48" t="s">
        <v>20</v>
      </c>
      <c r="F48" t="s">
        <v>21</v>
      </c>
      <c r="G48">
        <v>4</v>
      </c>
      <c r="H48">
        <v>41175</v>
      </c>
      <c r="I48">
        <v>10</v>
      </c>
      <c r="J48">
        <v>148230</v>
      </c>
      <c r="K48" t="s">
        <v>41</v>
      </c>
      <c r="L48" t="s">
        <v>23</v>
      </c>
      <c r="P48" t="str">
        <f t="shared" si="0"/>
        <v>May</v>
      </c>
      <c r="R48" t="str">
        <f t="shared" si="1"/>
        <v>High Sales</v>
      </c>
      <c r="S48" t="str">
        <f t="shared" si="2"/>
        <v>Low Discount</v>
      </c>
      <c r="T48" t="str">
        <f t="shared" si="3"/>
        <v>Successful</v>
      </c>
    </row>
    <row r="49" spans="1:20" hidden="1" x14ac:dyDescent="0.25">
      <c r="A49" t="s">
        <v>89</v>
      </c>
      <c r="B49" s="3">
        <v>45794</v>
      </c>
      <c r="C49">
        <v>1021</v>
      </c>
      <c r="D49" t="s">
        <v>19</v>
      </c>
      <c r="E49" t="s">
        <v>45</v>
      </c>
      <c r="F49" t="s">
        <v>37</v>
      </c>
      <c r="G49">
        <v>3</v>
      </c>
      <c r="H49">
        <v>27482</v>
      </c>
      <c r="I49">
        <v>10</v>
      </c>
      <c r="J49">
        <v>74201.399999999994</v>
      </c>
      <c r="K49" t="s">
        <v>41</v>
      </c>
      <c r="L49" t="s">
        <v>23</v>
      </c>
      <c r="P49" t="str">
        <f t="shared" si="0"/>
        <v>May</v>
      </c>
      <c r="R49" t="str">
        <f t="shared" si="1"/>
        <v>High Sales</v>
      </c>
      <c r="S49" t="str">
        <f t="shared" si="2"/>
        <v>Low Discount</v>
      </c>
      <c r="T49" t="str">
        <f t="shared" si="3"/>
        <v>Successful</v>
      </c>
    </row>
    <row r="50" spans="1:20" x14ac:dyDescent="0.25">
      <c r="A50" t="s">
        <v>90</v>
      </c>
      <c r="B50" s="3">
        <v>45837</v>
      </c>
      <c r="C50">
        <v>1040</v>
      </c>
      <c r="D50" t="s">
        <v>58</v>
      </c>
      <c r="E50" t="s">
        <v>51</v>
      </c>
      <c r="F50" t="s">
        <v>21</v>
      </c>
      <c r="G50">
        <v>2</v>
      </c>
      <c r="H50">
        <v>13579</v>
      </c>
      <c r="I50">
        <v>20</v>
      </c>
      <c r="J50">
        <v>21726.400000000001</v>
      </c>
      <c r="K50" t="s">
        <v>22</v>
      </c>
      <c r="L50" t="s">
        <v>23</v>
      </c>
      <c r="P50" t="str">
        <f t="shared" si="0"/>
        <v>Jun</v>
      </c>
      <c r="R50" t="str">
        <f t="shared" si="1"/>
        <v>High Sales</v>
      </c>
      <c r="S50" t="str">
        <f t="shared" si="2"/>
        <v>High Discount</v>
      </c>
      <c r="T50" t="str">
        <f t="shared" si="3"/>
        <v>Successful</v>
      </c>
    </row>
    <row r="51" spans="1:20" hidden="1" x14ac:dyDescent="0.25">
      <c r="A51" t="s">
        <v>91</v>
      </c>
      <c r="B51" s="3">
        <v>45693</v>
      </c>
      <c r="C51">
        <v>1099</v>
      </c>
      <c r="D51" t="s">
        <v>40</v>
      </c>
      <c r="E51" t="s">
        <v>33</v>
      </c>
      <c r="F51" t="s">
        <v>34</v>
      </c>
      <c r="G51">
        <v>4</v>
      </c>
      <c r="H51">
        <v>22012</v>
      </c>
      <c r="I51">
        <v>15</v>
      </c>
      <c r="J51">
        <v>74840.800000000003</v>
      </c>
      <c r="K51" t="s">
        <v>31</v>
      </c>
      <c r="L51" t="s">
        <v>17</v>
      </c>
      <c r="P51" t="str">
        <f t="shared" si="0"/>
        <v>Feb</v>
      </c>
      <c r="R51" t="str">
        <f t="shared" si="1"/>
        <v>High Sales</v>
      </c>
      <c r="S51" t="str">
        <f t="shared" si="2"/>
        <v>Low Discount</v>
      </c>
      <c r="T51" t="str">
        <f t="shared" si="3"/>
        <v>Pending</v>
      </c>
    </row>
    <row r="52" spans="1:20" hidden="1" x14ac:dyDescent="0.25">
      <c r="A52" t="s">
        <v>92</v>
      </c>
      <c r="B52" s="3">
        <v>45827</v>
      </c>
      <c r="C52">
        <v>1004</v>
      </c>
      <c r="D52" t="s">
        <v>19</v>
      </c>
      <c r="E52" t="s">
        <v>20</v>
      </c>
      <c r="F52" t="s">
        <v>21</v>
      </c>
      <c r="G52">
        <v>4</v>
      </c>
      <c r="H52">
        <v>45032</v>
      </c>
      <c r="I52">
        <v>25</v>
      </c>
      <c r="J52">
        <v>135096</v>
      </c>
      <c r="K52" t="s">
        <v>31</v>
      </c>
      <c r="L52" t="s">
        <v>23</v>
      </c>
      <c r="P52" t="str">
        <f t="shared" si="0"/>
        <v>Jun</v>
      </c>
      <c r="R52" t="str">
        <f t="shared" si="1"/>
        <v>High Sales</v>
      </c>
      <c r="S52" t="str">
        <f t="shared" si="2"/>
        <v>High Discount</v>
      </c>
      <c r="T52" t="str">
        <f t="shared" si="3"/>
        <v>Successful</v>
      </c>
    </row>
    <row r="53" spans="1:20" hidden="1" x14ac:dyDescent="0.25">
      <c r="A53" t="s">
        <v>93</v>
      </c>
      <c r="B53" s="3">
        <v>45963</v>
      </c>
      <c r="C53">
        <v>1056</v>
      </c>
      <c r="D53" t="s">
        <v>28</v>
      </c>
      <c r="E53" t="s">
        <v>29</v>
      </c>
      <c r="F53" t="s">
        <v>30</v>
      </c>
      <c r="G53">
        <v>3</v>
      </c>
      <c r="H53">
        <v>3007</v>
      </c>
      <c r="I53">
        <v>5</v>
      </c>
      <c r="J53">
        <v>8569.9500000000007</v>
      </c>
      <c r="K53" t="s">
        <v>31</v>
      </c>
      <c r="L53" t="s">
        <v>26</v>
      </c>
      <c r="P53" t="str">
        <f t="shared" si="0"/>
        <v>Nov</v>
      </c>
      <c r="R53" t="str">
        <f t="shared" si="1"/>
        <v>High Sales</v>
      </c>
      <c r="S53" t="str">
        <f t="shared" si="2"/>
        <v>Low Discount</v>
      </c>
      <c r="T53" t="str">
        <f t="shared" si="3"/>
        <v>Pending</v>
      </c>
    </row>
    <row r="54" spans="1:20" hidden="1" x14ac:dyDescent="0.25">
      <c r="A54" t="s">
        <v>94</v>
      </c>
      <c r="B54" s="3">
        <v>45953</v>
      </c>
      <c r="C54">
        <v>1025</v>
      </c>
      <c r="D54" t="s">
        <v>40</v>
      </c>
      <c r="E54" t="s">
        <v>29</v>
      </c>
      <c r="F54" t="s">
        <v>30</v>
      </c>
      <c r="G54">
        <v>5</v>
      </c>
      <c r="H54">
        <v>8078</v>
      </c>
      <c r="I54">
        <v>20</v>
      </c>
      <c r="J54">
        <v>32312</v>
      </c>
      <c r="K54" t="s">
        <v>16</v>
      </c>
      <c r="L54" t="s">
        <v>17</v>
      </c>
      <c r="P54" t="str">
        <f t="shared" si="0"/>
        <v>Oct</v>
      </c>
      <c r="R54" t="str">
        <f t="shared" si="1"/>
        <v>High Sales</v>
      </c>
      <c r="S54" t="str">
        <f t="shared" si="2"/>
        <v>High Discount</v>
      </c>
      <c r="T54" t="str">
        <f t="shared" si="3"/>
        <v>Pending</v>
      </c>
    </row>
    <row r="55" spans="1:20" hidden="1" x14ac:dyDescent="0.25">
      <c r="A55" t="s">
        <v>95</v>
      </c>
      <c r="B55" s="3">
        <v>46009</v>
      </c>
      <c r="C55">
        <v>1093</v>
      </c>
      <c r="D55" t="s">
        <v>58</v>
      </c>
      <c r="E55" t="s">
        <v>53</v>
      </c>
      <c r="F55" t="s">
        <v>15</v>
      </c>
      <c r="G55">
        <v>1</v>
      </c>
      <c r="H55">
        <v>34573</v>
      </c>
      <c r="I55">
        <v>25</v>
      </c>
      <c r="J55">
        <v>25929.75</v>
      </c>
      <c r="K55" t="s">
        <v>31</v>
      </c>
      <c r="L55" t="s">
        <v>26</v>
      </c>
      <c r="P55" t="str">
        <f t="shared" si="0"/>
        <v>Dec</v>
      </c>
      <c r="R55" t="str">
        <f t="shared" si="1"/>
        <v>High Sales</v>
      </c>
      <c r="S55" t="str">
        <f t="shared" si="2"/>
        <v>High Discount</v>
      </c>
      <c r="T55" t="str">
        <f t="shared" si="3"/>
        <v>Pending</v>
      </c>
    </row>
    <row r="56" spans="1:20" hidden="1" x14ac:dyDescent="0.25">
      <c r="A56" t="s">
        <v>96</v>
      </c>
      <c r="B56" s="3">
        <v>45997</v>
      </c>
      <c r="C56">
        <v>1016</v>
      </c>
      <c r="D56" t="s">
        <v>40</v>
      </c>
      <c r="E56" t="s">
        <v>14</v>
      </c>
      <c r="F56" t="s">
        <v>15</v>
      </c>
      <c r="G56">
        <v>3</v>
      </c>
      <c r="H56">
        <v>41339</v>
      </c>
      <c r="I56">
        <v>15</v>
      </c>
      <c r="J56">
        <v>105414.45</v>
      </c>
      <c r="K56" t="s">
        <v>31</v>
      </c>
      <c r="L56" t="s">
        <v>17</v>
      </c>
      <c r="P56" t="str">
        <f t="shared" si="0"/>
        <v>Dec</v>
      </c>
      <c r="R56" t="str">
        <f t="shared" si="1"/>
        <v>High Sales</v>
      </c>
      <c r="S56" t="str">
        <f t="shared" si="2"/>
        <v>Low Discount</v>
      </c>
      <c r="T56" t="str">
        <f t="shared" si="3"/>
        <v>Pending</v>
      </c>
    </row>
    <row r="57" spans="1:20" hidden="1" x14ac:dyDescent="0.25">
      <c r="A57" t="s">
        <v>97</v>
      </c>
      <c r="B57" s="3">
        <v>45941</v>
      </c>
      <c r="C57">
        <v>1017</v>
      </c>
      <c r="D57" t="s">
        <v>58</v>
      </c>
      <c r="E57" t="s">
        <v>53</v>
      </c>
      <c r="F57" t="s">
        <v>15</v>
      </c>
      <c r="G57">
        <v>3</v>
      </c>
      <c r="H57">
        <v>26871</v>
      </c>
      <c r="I57">
        <v>15</v>
      </c>
      <c r="J57">
        <v>68521.05</v>
      </c>
      <c r="K57" t="s">
        <v>41</v>
      </c>
      <c r="L57" t="s">
        <v>17</v>
      </c>
      <c r="P57" t="str">
        <f t="shared" si="0"/>
        <v>Oct</v>
      </c>
      <c r="R57" t="str">
        <f t="shared" si="1"/>
        <v>High Sales</v>
      </c>
      <c r="S57" t="str">
        <f t="shared" si="2"/>
        <v>Low Discount</v>
      </c>
      <c r="T57" t="str">
        <f t="shared" si="3"/>
        <v>Pending</v>
      </c>
    </row>
    <row r="58" spans="1:20" hidden="1" x14ac:dyDescent="0.25">
      <c r="A58" t="s">
        <v>98</v>
      </c>
      <c r="B58" s="3">
        <v>45812</v>
      </c>
      <c r="C58">
        <v>1052</v>
      </c>
      <c r="D58" t="s">
        <v>47</v>
      </c>
      <c r="E58" t="s">
        <v>53</v>
      </c>
      <c r="F58" t="s">
        <v>15</v>
      </c>
      <c r="G58">
        <v>2</v>
      </c>
      <c r="H58">
        <v>40838</v>
      </c>
      <c r="I58">
        <v>25</v>
      </c>
      <c r="J58">
        <v>61257</v>
      </c>
      <c r="K58" t="s">
        <v>31</v>
      </c>
      <c r="L58" t="s">
        <v>26</v>
      </c>
      <c r="P58" t="str">
        <f t="shared" si="0"/>
        <v>Jun</v>
      </c>
      <c r="R58" t="str">
        <f t="shared" si="1"/>
        <v>High Sales</v>
      </c>
      <c r="S58" t="str">
        <f t="shared" si="2"/>
        <v>High Discount</v>
      </c>
      <c r="T58" t="str">
        <f t="shared" si="3"/>
        <v>Pending</v>
      </c>
    </row>
    <row r="59" spans="1:20" hidden="1" x14ac:dyDescent="0.25">
      <c r="A59" t="s">
        <v>99</v>
      </c>
      <c r="B59" s="3">
        <v>45993</v>
      </c>
      <c r="C59">
        <v>1042</v>
      </c>
      <c r="D59" t="s">
        <v>49</v>
      </c>
      <c r="E59" t="s">
        <v>33</v>
      </c>
      <c r="F59" t="s">
        <v>34</v>
      </c>
      <c r="G59">
        <v>4</v>
      </c>
      <c r="H59">
        <v>38509</v>
      </c>
      <c r="I59">
        <v>25</v>
      </c>
      <c r="J59">
        <v>115527</v>
      </c>
      <c r="K59" t="s">
        <v>41</v>
      </c>
      <c r="L59" t="s">
        <v>26</v>
      </c>
      <c r="P59" t="str">
        <f t="shared" si="0"/>
        <v>Dec</v>
      </c>
      <c r="R59" t="str">
        <f t="shared" si="1"/>
        <v>High Sales</v>
      </c>
      <c r="S59" t="str">
        <f t="shared" si="2"/>
        <v>High Discount</v>
      </c>
      <c r="T59" t="str">
        <f t="shared" si="3"/>
        <v>Pending</v>
      </c>
    </row>
    <row r="60" spans="1:20" hidden="1" x14ac:dyDescent="0.25">
      <c r="A60" t="s">
        <v>100</v>
      </c>
      <c r="B60" s="3">
        <v>45995</v>
      </c>
      <c r="C60">
        <v>1011</v>
      </c>
      <c r="D60" t="s">
        <v>40</v>
      </c>
      <c r="E60" t="s">
        <v>33</v>
      </c>
      <c r="F60" t="s">
        <v>34</v>
      </c>
      <c r="G60">
        <v>5</v>
      </c>
      <c r="H60">
        <v>31510</v>
      </c>
      <c r="I60">
        <v>10</v>
      </c>
      <c r="J60">
        <v>141795</v>
      </c>
      <c r="K60" t="s">
        <v>31</v>
      </c>
      <c r="L60" t="s">
        <v>23</v>
      </c>
      <c r="P60" t="str">
        <f t="shared" si="0"/>
        <v>Dec</v>
      </c>
      <c r="R60" t="str">
        <f t="shared" si="1"/>
        <v>High Sales</v>
      </c>
      <c r="S60" t="str">
        <f t="shared" si="2"/>
        <v>Low Discount</v>
      </c>
      <c r="T60" t="str">
        <f t="shared" si="3"/>
        <v>Successful</v>
      </c>
    </row>
    <row r="61" spans="1:20" x14ac:dyDescent="0.25">
      <c r="A61" t="s">
        <v>101</v>
      </c>
      <c r="B61" s="3">
        <v>45733</v>
      </c>
      <c r="C61">
        <v>1004</v>
      </c>
      <c r="D61" t="s">
        <v>47</v>
      </c>
      <c r="E61" t="s">
        <v>33</v>
      </c>
      <c r="F61" t="s">
        <v>34</v>
      </c>
      <c r="G61">
        <v>3</v>
      </c>
      <c r="H61">
        <v>15222</v>
      </c>
      <c r="I61">
        <v>10</v>
      </c>
      <c r="J61">
        <v>41099.4</v>
      </c>
      <c r="K61" t="s">
        <v>22</v>
      </c>
      <c r="L61" t="s">
        <v>26</v>
      </c>
      <c r="P61" t="str">
        <f t="shared" si="0"/>
        <v>Mar</v>
      </c>
      <c r="R61" t="str">
        <f t="shared" si="1"/>
        <v>High Sales</v>
      </c>
      <c r="S61" t="str">
        <f t="shared" si="2"/>
        <v>Low Discount</v>
      </c>
      <c r="T61" t="str">
        <f t="shared" si="3"/>
        <v>Pending</v>
      </c>
    </row>
    <row r="62" spans="1:20" hidden="1" x14ac:dyDescent="0.25">
      <c r="A62" t="s">
        <v>102</v>
      </c>
      <c r="B62" s="3">
        <v>45980</v>
      </c>
      <c r="C62">
        <v>1074</v>
      </c>
      <c r="D62" t="s">
        <v>58</v>
      </c>
      <c r="E62" t="s">
        <v>29</v>
      </c>
      <c r="F62" t="s">
        <v>30</v>
      </c>
      <c r="G62">
        <v>1</v>
      </c>
      <c r="H62">
        <v>30346</v>
      </c>
      <c r="I62">
        <v>20</v>
      </c>
      <c r="J62">
        <v>24276.799999999999</v>
      </c>
      <c r="K62" t="s">
        <v>41</v>
      </c>
      <c r="L62" t="s">
        <v>26</v>
      </c>
      <c r="P62" t="str">
        <f t="shared" si="0"/>
        <v>Nov</v>
      </c>
      <c r="R62" t="str">
        <f t="shared" si="1"/>
        <v>High Sales</v>
      </c>
      <c r="S62" t="str">
        <f t="shared" si="2"/>
        <v>High Discount</v>
      </c>
      <c r="T62" t="str">
        <f t="shared" si="3"/>
        <v>Pending</v>
      </c>
    </row>
    <row r="63" spans="1:20" x14ac:dyDescent="0.25">
      <c r="A63" t="s">
        <v>103</v>
      </c>
      <c r="B63" s="3">
        <v>45712</v>
      </c>
      <c r="C63">
        <v>1100</v>
      </c>
      <c r="D63" t="s">
        <v>25</v>
      </c>
      <c r="E63" t="s">
        <v>53</v>
      </c>
      <c r="F63" t="s">
        <v>15</v>
      </c>
      <c r="G63">
        <v>2</v>
      </c>
      <c r="H63">
        <v>10171</v>
      </c>
      <c r="I63">
        <v>5</v>
      </c>
      <c r="J63">
        <v>19324.900000000001</v>
      </c>
      <c r="K63" t="s">
        <v>22</v>
      </c>
      <c r="L63" t="s">
        <v>23</v>
      </c>
      <c r="P63" t="str">
        <f t="shared" si="0"/>
        <v>Feb</v>
      </c>
      <c r="R63" t="str">
        <f t="shared" si="1"/>
        <v>High Sales</v>
      </c>
      <c r="S63" t="str">
        <f t="shared" si="2"/>
        <v>Low Discount</v>
      </c>
      <c r="T63" t="str">
        <f t="shared" si="3"/>
        <v>Successful</v>
      </c>
    </row>
    <row r="64" spans="1:20" x14ac:dyDescent="0.25">
      <c r="A64" t="s">
        <v>104</v>
      </c>
      <c r="B64" s="3">
        <v>45785</v>
      </c>
      <c r="C64">
        <v>1016</v>
      </c>
      <c r="D64" t="s">
        <v>49</v>
      </c>
      <c r="E64" t="s">
        <v>20</v>
      </c>
      <c r="F64" t="s">
        <v>21</v>
      </c>
      <c r="G64">
        <v>4</v>
      </c>
      <c r="H64">
        <v>3791</v>
      </c>
      <c r="I64">
        <v>25</v>
      </c>
      <c r="J64">
        <v>11373</v>
      </c>
      <c r="K64" t="s">
        <v>22</v>
      </c>
      <c r="L64" t="s">
        <v>26</v>
      </c>
      <c r="P64" t="str">
        <f t="shared" si="0"/>
        <v>May</v>
      </c>
      <c r="R64" t="str">
        <f t="shared" si="1"/>
        <v>High Sales</v>
      </c>
      <c r="S64" t="str">
        <f t="shared" si="2"/>
        <v>High Discount</v>
      </c>
      <c r="T64" t="str">
        <f t="shared" si="3"/>
        <v>Pending</v>
      </c>
    </row>
    <row r="65" spans="1:20" hidden="1" x14ac:dyDescent="0.25">
      <c r="A65" t="s">
        <v>105</v>
      </c>
      <c r="B65" s="3">
        <v>45884</v>
      </c>
      <c r="C65">
        <v>1079</v>
      </c>
      <c r="D65" t="s">
        <v>25</v>
      </c>
      <c r="E65" t="s">
        <v>20</v>
      </c>
      <c r="F65" t="s">
        <v>21</v>
      </c>
      <c r="G65">
        <v>5</v>
      </c>
      <c r="H65">
        <v>39523</v>
      </c>
      <c r="I65">
        <v>15</v>
      </c>
      <c r="J65">
        <v>167972.75</v>
      </c>
      <c r="K65" t="s">
        <v>41</v>
      </c>
      <c r="L65" t="s">
        <v>23</v>
      </c>
      <c r="P65" t="str">
        <f t="shared" si="0"/>
        <v>Aug</v>
      </c>
      <c r="R65" t="str">
        <f t="shared" si="1"/>
        <v>High Sales</v>
      </c>
      <c r="S65" t="str">
        <f t="shared" si="2"/>
        <v>Low Discount</v>
      </c>
      <c r="T65" t="str">
        <f t="shared" si="3"/>
        <v>Successful</v>
      </c>
    </row>
    <row r="66" spans="1:20" x14ac:dyDescent="0.25">
      <c r="A66" t="s">
        <v>106</v>
      </c>
      <c r="B66" s="3">
        <v>45984</v>
      </c>
      <c r="C66">
        <v>1036</v>
      </c>
      <c r="D66" t="s">
        <v>49</v>
      </c>
      <c r="E66" t="s">
        <v>51</v>
      </c>
      <c r="F66" t="s">
        <v>21</v>
      </c>
      <c r="G66">
        <v>4</v>
      </c>
      <c r="H66">
        <v>17486</v>
      </c>
      <c r="I66">
        <v>10</v>
      </c>
      <c r="J66">
        <v>62949.599999999999</v>
      </c>
      <c r="K66" t="s">
        <v>22</v>
      </c>
      <c r="L66" t="s">
        <v>26</v>
      </c>
      <c r="P66" t="str">
        <f t="shared" si="0"/>
        <v>Nov</v>
      </c>
      <c r="R66" t="str">
        <f t="shared" si="1"/>
        <v>High Sales</v>
      </c>
      <c r="S66" t="str">
        <f t="shared" si="2"/>
        <v>Low Discount</v>
      </c>
      <c r="T66" t="str">
        <f t="shared" si="3"/>
        <v>Pending</v>
      </c>
    </row>
    <row r="67" spans="1:20" hidden="1" x14ac:dyDescent="0.25">
      <c r="A67" t="s">
        <v>107</v>
      </c>
      <c r="B67" s="3">
        <v>45778</v>
      </c>
      <c r="C67">
        <v>1035</v>
      </c>
      <c r="D67" t="s">
        <v>28</v>
      </c>
      <c r="E67" t="s">
        <v>51</v>
      </c>
      <c r="F67" t="s">
        <v>21</v>
      </c>
      <c r="G67">
        <v>1</v>
      </c>
      <c r="H67">
        <v>47262</v>
      </c>
      <c r="I67">
        <v>15</v>
      </c>
      <c r="J67">
        <v>40172.699999999997</v>
      </c>
      <c r="K67" t="s">
        <v>31</v>
      </c>
      <c r="L67" t="s">
        <v>17</v>
      </c>
      <c r="P67" t="str">
        <f t="shared" ref="P67:P130" si="4">TEXT(B67,"MMM")</f>
        <v>May</v>
      </c>
      <c r="R67" t="str">
        <f t="shared" ref="R67:R130" si="5">IF(J67&gt;5000,"High Sales",IF(J67&gt;2000,"Medium Sales","Low Sales"))</f>
        <v>High Sales</v>
      </c>
      <c r="S67" t="str">
        <f t="shared" ref="S67:S130" si="6">IF(I67&gt;=20,"High Discount","Low Discount")</f>
        <v>Low Discount</v>
      </c>
      <c r="T67" t="str">
        <f t="shared" ref="T67:T130" si="7">IF(L67="Delivered","Successful","Pending")</f>
        <v>Pending</v>
      </c>
    </row>
    <row r="68" spans="1:20" x14ac:dyDescent="0.25">
      <c r="A68" t="s">
        <v>108</v>
      </c>
      <c r="B68" s="3">
        <v>45854</v>
      </c>
      <c r="C68">
        <v>1089</v>
      </c>
      <c r="D68" t="s">
        <v>13</v>
      </c>
      <c r="E68" t="s">
        <v>14</v>
      </c>
      <c r="F68" t="s">
        <v>15</v>
      </c>
      <c r="G68">
        <v>2</v>
      </c>
      <c r="H68">
        <v>10384</v>
      </c>
      <c r="I68">
        <v>10</v>
      </c>
      <c r="J68">
        <v>18691.2</v>
      </c>
      <c r="K68" t="s">
        <v>22</v>
      </c>
      <c r="L68" t="s">
        <v>23</v>
      </c>
      <c r="P68" t="str">
        <f t="shared" si="4"/>
        <v>Jul</v>
      </c>
      <c r="R68" t="str">
        <f t="shared" si="5"/>
        <v>High Sales</v>
      </c>
      <c r="S68" t="str">
        <f t="shared" si="6"/>
        <v>Low Discount</v>
      </c>
      <c r="T68" t="str">
        <f t="shared" si="7"/>
        <v>Successful</v>
      </c>
    </row>
    <row r="69" spans="1:20" x14ac:dyDescent="0.25">
      <c r="A69" t="s">
        <v>109</v>
      </c>
      <c r="B69" s="3">
        <v>45896</v>
      </c>
      <c r="C69">
        <v>1054</v>
      </c>
      <c r="D69" t="s">
        <v>47</v>
      </c>
      <c r="E69" t="s">
        <v>53</v>
      </c>
      <c r="F69" t="s">
        <v>15</v>
      </c>
      <c r="G69">
        <v>4</v>
      </c>
      <c r="H69">
        <v>22184</v>
      </c>
      <c r="I69">
        <v>25</v>
      </c>
      <c r="J69">
        <v>66552</v>
      </c>
      <c r="K69" t="s">
        <v>22</v>
      </c>
      <c r="L69" t="s">
        <v>26</v>
      </c>
      <c r="P69" t="str">
        <f t="shared" si="4"/>
        <v>Aug</v>
      </c>
      <c r="R69" t="str">
        <f t="shared" si="5"/>
        <v>High Sales</v>
      </c>
      <c r="S69" t="str">
        <f t="shared" si="6"/>
        <v>High Discount</v>
      </c>
      <c r="T69" t="str">
        <f t="shared" si="7"/>
        <v>Pending</v>
      </c>
    </row>
    <row r="70" spans="1:20" hidden="1" x14ac:dyDescent="0.25">
      <c r="A70" t="s">
        <v>110</v>
      </c>
      <c r="B70" s="3">
        <v>45952</v>
      </c>
      <c r="C70">
        <v>1049</v>
      </c>
      <c r="D70" t="s">
        <v>49</v>
      </c>
      <c r="E70" t="s">
        <v>53</v>
      </c>
      <c r="F70" t="s">
        <v>15</v>
      </c>
      <c r="G70">
        <v>5</v>
      </c>
      <c r="H70">
        <v>46081</v>
      </c>
      <c r="I70">
        <v>5</v>
      </c>
      <c r="J70">
        <v>218884.75</v>
      </c>
      <c r="K70" t="s">
        <v>16</v>
      </c>
      <c r="L70" t="s">
        <v>26</v>
      </c>
      <c r="P70" t="str">
        <f t="shared" si="4"/>
        <v>Oct</v>
      </c>
      <c r="R70" t="str">
        <f t="shared" si="5"/>
        <v>High Sales</v>
      </c>
      <c r="S70" t="str">
        <f t="shared" si="6"/>
        <v>Low Discount</v>
      </c>
      <c r="T70" t="str">
        <f t="shared" si="7"/>
        <v>Pending</v>
      </c>
    </row>
    <row r="71" spans="1:20" hidden="1" x14ac:dyDescent="0.25">
      <c r="A71" t="s">
        <v>111</v>
      </c>
      <c r="B71" s="3">
        <v>45937</v>
      </c>
      <c r="C71">
        <v>1078</v>
      </c>
      <c r="D71" t="s">
        <v>58</v>
      </c>
      <c r="E71" t="s">
        <v>36</v>
      </c>
      <c r="F71" t="s">
        <v>37</v>
      </c>
      <c r="G71">
        <v>4</v>
      </c>
      <c r="H71">
        <v>27960</v>
      </c>
      <c r="I71">
        <v>25</v>
      </c>
      <c r="J71">
        <v>83880</v>
      </c>
      <c r="K71" t="s">
        <v>41</v>
      </c>
      <c r="L71" t="s">
        <v>23</v>
      </c>
      <c r="P71" t="str">
        <f t="shared" si="4"/>
        <v>Oct</v>
      </c>
      <c r="R71" t="str">
        <f t="shared" si="5"/>
        <v>High Sales</v>
      </c>
      <c r="S71" t="str">
        <f t="shared" si="6"/>
        <v>High Discount</v>
      </c>
      <c r="T71" t="str">
        <f t="shared" si="7"/>
        <v>Successful</v>
      </c>
    </row>
    <row r="72" spans="1:20" x14ac:dyDescent="0.25">
      <c r="A72" t="s">
        <v>112</v>
      </c>
      <c r="B72" s="3">
        <v>45857</v>
      </c>
      <c r="C72">
        <v>1044</v>
      </c>
      <c r="D72" t="s">
        <v>25</v>
      </c>
      <c r="E72" t="s">
        <v>36</v>
      </c>
      <c r="F72" t="s">
        <v>37</v>
      </c>
      <c r="G72">
        <v>4</v>
      </c>
      <c r="H72">
        <v>32327</v>
      </c>
      <c r="I72">
        <v>5</v>
      </c>
      <c r="J72">
        <v>122842.6</v>
      </c>
      <c r="K72" t="s">
        <v>22</v>
      </c>
      <c r="L72" t="s">
        <v>26</v>
      </c>
      <c r="P72" t="str">
        <f t="shared" si="4"/>
        <v>Jul</v>
      </c>
      <c r="R72" t="str">
        <f t="shared" si="5"/>
        <v>High Sales</v>
      </c>
      <c r="S72" t="str">
        <f t="shared" si="6"/>
        <v>Low Discount</v>
      </c>
      <c r="T72" t="str">
        <f t="shared" si="7"/>
        <v>Pending</v>
      </c>
    </row>
    <row r="73" spans="1:20" hidden="1" x14ac:dyDescent="0.25">
      <c r="A73" t="s">
        <v>113</v>
      </c>
      <c r="B73" s="3">
        <v>45859</v>
      </c>
      <c r="C73">
        <v>1076</v>
      </c>
      <c r="D73" t="s">
        <v>47</v>
      </c>
      <c r="E73" t="s">
        <v>45</v>
      </c>
      <c r="F73" t="s">
        <v>37</v>
      </c>
      <c r="G73">
        <v>5</v>
      </c>
      <c r="H73">
        <v>35504</v>
      </c>
      <c r="I73">
        <v>5</v>
      </c>
      <c r="J73">
        <v>168644</v>
      </c>
      <c r="K73" t="s">
        <v>16</v>
      </c>
      <c r="L73" t="s">
        <v>17</v>
      </c>
      <c r="P73" t="str">
        <f t="shared" si="4"/>
        <v>Jul</v>
      </c>
      <c r="R73" t="str">
        <f t="shared" si="5"/>
        <v>High Sales</v>
      </c>
      <c r="S73" t="str">
        <f t="shared" si="6"/>
        <v>Low Discount</v>
      </c>
      <c r="T73" t="str">
        <f t="shared" si="7"/>
        <v>Pending</v>
      </c>
    </row>
    <row r="74" spans="1:20" hidden="1" x14ac:dyDescent="0.25">
      <c r="A74" t="s">
        <v>114</v>
      </c>
      <c r="B74" s="3">
        <v>45683</v>
      </c>
      <c r="C74">
        <v>1034</v>
      </c>
      <c r="D74" t="s">
        <v>25</v>
      </c>
      <c r="E74" t="s">
        <v>53</v>
      </c>
      <c r="F74" t="s">
        <v>15</v>
      </c>
      <c r="G74">
        <v>2</v>
      </c>
      <c r="H74">
        <v>30757</v>
      </c>
      <c r="I74">
        <v>10</v>
      </c>
      <c r="J74">
        <v>55362.6</v>
      </c>
      <c r="K74" t="s">
        <v>31</v>
      </c>
      <c r="L74" t="s">
        <v>23</v>
      </c>
      <c r="P74" t="str">
        <f t="shared" si="4"/>
        <v>Jan</v>
      </c>
      <c r="R74" t="str">
        <f t="shared" si="5"/>
        <v>High Sales</v>
      </c>
      <c r="S74" t="str">
        <f t="shared" si="6"/>
        <v>Low Discount</v>
      </c>
      <c r="T74" t="str">
        <f t="shared" si="7"/>
        <v>Successful</v>
      </c>
    </row>
    <row r="75" spans="1:20" hidden="1" x14ac:dyDescent="0.25">
      <c r="A75" t="s">
        <v>115</v>
      </c>
      <c r="B75" s="3">
        <v>45800</v>
      </c>
      <c r="C75">
        <v>1097</v>
      </c>
      <c r="D75" t="s">
        <v>25</v>
      </c>
      <c r="E75" t="s">
        <v>51</v>
      </c>
      <c r="F75" t="s">
        <v>21</v>
      </c>
      <c r="G75">
        <v>3</v>
      </c>
      <c r="H75">
        <v>22618</v>
      </c>
      <c r="I75">
        <v>20</v>
      </c>
      <c r="J75">
        <v>54283.199999999997</v>
      </c>
      <c r="K75" t="s">
        <v>31</v>
      </c>
      <c r="L75" t="s">
        <v>23</v>
      </c>
      <c r="P75" t="str">
        <f t="shared" si="4"/>
        <v>May</v>
      </c>
      <c r="R75" t="str">
        <f t="shared" si="5"/>
        <v>High Sales</v>
      </c>
      <c r="S75" t="str">
        <f t="shared" si="6"/>
        <v>High Discount</v>
      </c>
      <c r="T75" t="str">
        <f t="shared" si="7"/>
        <v>Successful</v>
      </c>
    </row>
    <row r="76" spans="1:20" hidden="1" x14ac:dyDescent="0.25">
      <c r="A76" t="s">
        <v>116</v>
      </c>
      <c r="B76" s="3">
        <v>45684</v>
      </c>
      <c r="C76">
        <v>1045</v>
      </c>
      <c r="D76" t="s">
        <v>58</v>
      </c>
      <c r="E76" t="s">
        <v>51</v>
      </c>
      <c r="F76" t="s">
        <v>21</v>
      </c>
      <c r="G76">
        <v>1</v>
      </c>
      <c r="H76">
        <v>49588</v>
      </c>
      <c r="I76">
        <v>25</v>
      </c>
      <c r="J76">
        <v>37191</v>
      </c>
      <c r="K76" t="s">
        <v>16</v>
      </c>
      <c r="L76" t="s">
        <v>17</v>
      </c>
      <c r="P76" t="str">
        <f t="shared" si="4"/>
        <v>Jan</v>
      </c>
      <c r="R76" t="str">
        <f t="shared" si="5"/>
        <v>High Sales</v>
      </c>
      <c r="S76" t="str">
        <f t="shared" si="6"/>
        <v>High Discount</v>
      </c>
      <c r="T76" t="str">
        <f t="shared" si="7"/>
        <v>Pending</v>
      </c>
    </row>
    <row r="77" spans="1:20" x14ac:dyDescent="0.25">
      <c r="A77" t="s">
        <v>117</v>
      </c>
      <c r="B77" s="3">
        <v>45668</v>
      </c>
      <c r="C77">
        <v>1080</v>
      </c>
      <c r="D77" t="s">
        <v>13</v>
      </c>
      <c r="E77" t="s">
        <v>65</v>
      </c>
      <c r="F77" t="s">
        <v>15</v>
      </c>
      <c r="G77">
        <v>1</v>
      </c>
      <c r="H77">
        <v>16705</v>
      </c>
      <c r="I77">
        <v>10</v>
      </c>
      <c r="J77">
        <v>15034.5</v>
      </c>
      <c r="K77" t="s">
        <v>22</v>
      </c>
      <c r="L77" t="s">
        <v>23</v>
      </c>
      <c r="P77" t="str">
        <f t="shared" si="4"/>
        <v>Jan</v>
      </c>
      <c r="R77" t="str">
        <f t="shared" si="5"/>
        <v>High Sales</v>
      </c>
      <c r="S77" t="str">
        <f t="shared" si="6"/>
        <v>Low Discount</v>
      </c>
      <c r="T77" t="str">
        <f t="shared" si="7"/>
        <v>Successful</v>
      </c>
    </row>
    <row r="78" spans="1:20" hidden="1" x14ac:dyDescent="0.25">
      <c r="A78" t="s">
        <v>118</v>
      </c>
      <c r="B78" s="3">
        <v>45896</v>
      </c>
      <c r="C78">
        <v>1090</v>
      </c>
      <c r="D78" t="s">
        <v>40</v>
      </c>
      <c r="E78" t="s">
        <v>51</v>
      </c>
      <c r="F78" t="s">
        <v>21</v>
      </c>
      <c r="G78">
        <v>1</v>
      </c>
      <c r="H78">
        <v>37460</v>
      </c>
      <c r="I78">
        <v>10</v>
      </c>
      <c r="J78">
        <v>33714</v>
      </c>
      <c r="K78" t="s">
        <v>31</v>
      </c>
      <c r="L78" t="s">
        <v>23</v>
      </c>
      <c r="P78" t="str">
        <f t="shared" si="4"/>
        <v>Aug</v>
      </c>
      <c r="R78" t="str">
        <f t="shared" si="5"/>
        <v>High Sales</v>
      </c>
      <c r="S78" t="str">
        <f t="shared" si="6"/>
        <v>Low Discount</v>
      </c>
      <c r="T78" t="str">
        <f t="shared" si="7"/>
        <v>Successful</v>
      </c>
    </row>
    <row r="79" spans="1:20" hidden="1" x14ac:dyDescent="0.25">
      <c r="A79" t="s">
        <v>119</v>
      </c>
      <c r="B79" s="3">
        <v>45741</v>
      </c>
      <c r="C79">
        <v>1040</v>
      </c>
      <c r="D79" t="s">
        <v>19</v>
      </c>
      <c r="E79" t="s">
        <v>29</v>
      </c>
      <c r="F79" t="s">
        <v>30</v>
      </c>
      <c r="G79">
        <v>5</v>
      </c>
      <c r="H79">
        <v>49516</v>
      </c>
      <c r="I79">
        <v>5</v>
      </c>
      <c r="J79">
        <v>235201</v>
      </c>
      <c r="K79" t="s">
        <v>16</v>
      </c>
      <c r="L79" t="s">
        <v>26</v>
      </c>
      <c r="P79" t="str">
        <f t="shared" si="4"/>
        <v>Mar</v>
      </c>
      <c r="R79" t="str">
        <f t="shared" si="5"/>
        <v>High Sales</v>
      </c>
      <c r="S79" t="str">
        <f t="shared" si="6"/>
        <v>Low Discount</v>
      </c>
      <c r="T79" t="str">
        <f t="shared" si="7"/>
        <v>Pending</v>
      </c>
    </row>
    <row r="80" spans="1:20" hidden="1" x14ac:dyDescent="0.25">
      <c r="A80" t="s">
        <v>120</v>
      </c>
      <c r="B80" s="3">
        <v>45696</v>
      </c>
      <c r="C80">
        <v>1076</v>
      </c>
      <c r="D80" t="s">
        <v>58</v>
      </c>
      <c r="E80" t="s">
        <v>29</v>
      </c>
      <c r="F80" t="s">
        <v>30</v>
      </c>
      <c r="G80">
        <v>4</v>
      </c>
      <c r="H80">
        <v>26495</v>
      </c>
      <c r="I80">
        <v>10</v>
      </c>
      <c r="J80">
        <v>95382</v>
      </c>
      <c r="K80" t="s">
        <v>16</v>
      </c>
      <c r="L80" t="s">
        <v>17</v>
      </c>
      <c r="P80" t="str">
        <f t="shared" si="4"/>
        <v>Feb</v>
      </c>
      <c r="R80" t="str">
        <f t="shared" si="5"/>
        <v>High Sales</v>
      </c>
      <c r="S80" t="str">
        <f t="shared" si="6"/>
        <v>Low Discount</v>
      </c>
      <c r="T80" t="str">
        <f t="shared" si="7"/>
        <v>Pending</v>
      </c>
    </row>
    <row r="81" spans="1:20" hidden="1" x14ac:dyDescent="0.25">
      <c r="A81" t="s">
        <v>121</v>
      </c>
      <c r="B81" s="3">
        <v>45679</v>
      </c>
      <c r="C81">
        <v>1045</v>
      </c>
      <c r="D81" t="s">
        <v>25</v>
      </c>
      <c r="E81" t="s">
        <v>36</v>
      </c>
      <c r="F81" t="s">
        <v>37</v>
      </c>
      <c r="G81">
        <v>5</v>
      </c>
      <c r="H81">
        <v>8433</v>
      </c>
      <c r="I81">
        <v>25</v>
      </c>
      <c r="J81">
        <v>31623.75</v>
      </c>
      <c r="K81" t="s">
        <v>31</v>
      </c>
      <c r="L81" t="s">
        <v>23</v>
      </c>
      <c r="P81" t="str">
        <f t="shared" si="4"/>
        <v>Jan</v>
      </c>
      <c r="R81" t="str">
        <f t="shared" si="5"/>
        <v>High Sales</v>
      </c>
      <c r="S81" t="str">
        <f t="shared" si="6"/>
        <v>High Discount</v>
      </c>
      <c r="T81" t="str">
        <f t="shared" si="7"/>
        <v>Successful</v>
      </c>
    </row>
    <row r="82" spans="1:20" hidden="1" x14ac:dyDescent="0.25">
      <c r="A82" t="s">
        <v>122</v>
      </c>
      <c r="B82" s="3">
        <v>45908</v>
      </c>
      <c r="C82">
        <v>1014</v>
      </c>
      <c r="D82" t="s">
        <v>25</v>
      </c>
      <c r="E82" t="s">
        <v>20</v>
      </c>
      <c r="F82" t="s">
        <v>21</v>
      </c>
      <c r="G82">
        <v>3</v>
      </c>
      <c r="H82">
        <v>1329</v>
      </c>
      <c r="I82">
        <v>20</v>
      </c>
      <c r="J82">
        <v>3189.6</v>
      </c>
      <c r="K82" t="s">
        <v>31</v>
      </c>
      <c r="L82" t="s">
        <v>17</v>
      </c>
      <c r="P82" t="str">
        <f t="shared" si="4"/>
        <v>Sep</v>
      </c>
      <c r="R82" t="str">
        <f t="shared" si="5"/>
        <v>Medium Sales</v>
      </c>
      <c r="S82" t="str">
        <f t="shared" si="6"/>
        <v>High Discount</v>
      </c>
      <c r="T82" t="str">
        <f t="shared" si="7"/>
        <v>Pending</v>
      </c>
    </row>
    <row r="83" spans="1:20" hidden="1" x14ac:dyDescent="0.25">
      <c r="A83" t="s">
        <v>123</v>
      </c>
      <c r="B83" s="3">
        <v>45925</v>
      </c>
      <c r="C83">
        <v>1084</v>
      </c>
      <c r="D83" t="s">
        <v>40</v>
      </c>
      <c r="E83" t="s">
        <v>51</v>
      </c>
      <c r="F83" t="s">
        <v>21</v>
      </c>
      <c r="G83">
        <v>2</v>
      </c>
      <c r="H83">
        <v>29040</v>
      </c>
      <c r="I83">
        <v>10</v>
      </c>
      <c r="J83">
        <v>52272</v>
      </c>
      <c r="K83" t="s">
        <v>41</v>
      </c>
      <c r="L83" t="s">
        <v>26</v>
      </c>
      <c r="P83" t="str">
        <f t="shared" si="4"/>
        <v>Sep</v>
      </c>
      <c r="R83" t="str">
        <f t="shared" si="5"/>
        <v>High Sales</v>
      </c>
      <c r="S83" t="str">
        <f t="shared" si="6"/>
        <v>Low Discount</v>
      </c>
      <c r="T83" t="str">
        <f t="shared" si="7"/>
        <v>Pending</v>
      </c>
    </row>
    <row r="84" spans="1:20" hidden="1" x14ac:dyDescent="0.25">
      <c r="A84" t="s">
        <v>124</v>
      </c>
      <c r="B84" s="3">
        <v>45783</v>
      </c>
      <c r="C84">
        <v>1012</v>
      </c>
      <c r="D84" t="s">
        <v>40</v>
      </c>
      <c r="E84" t="s">
        <v>53</v>
      </c>
      <c r="F84" t="s">
        <v>15</v>
      </c>
      <c r="G84">
        <v>5</v>
      </c>
      <c r="H84">
        <v>18089</v>
      </c>
      <c r="I84">
        <v>15</v>
      </c>
      <c r="J84">
        <v>76878.25</v>
      </c>
      <c r="K84" t="s">
        <v>41</v>
      </c>
      <c r="L84" t="s">
        <v>23</v>
      </c>
      <c r="P84" t="str">
        <f t="shared" si="4"/>
        <v>May</v>
      </c>
      <c r="R84" t="str">
        <f t="shared" si="5"/>
        <v>High Sales</v>
      </c>
      <c r="S84" t="str">
        <f t="shared" si="6"/>
        <v>Low Discount</v>
      </c>
      <c r="T84" t="str">
        <f t="shared" si="7"/>
        <v>Successful</v>
      </c>
    </row>
    <row r="85" spans="1:20" hidden="1" x14ac:dyDescent="0.25">
      <c r="A85" t="s">
        <v>125</v>
      </c>
      <c r="B85" s="3">
        <v>45830</v>
      </c>
      <c r="C85">
        <v>1004</v>
      </c>
      <c r="D85" t="s">
        <v>49</v>
      </c>
      <c r="E85" t="s">
        <v>51</v>
      </c>
      <c r="F85" t="s">
        <v>21</v>
      </c>
      <c r="G85">
        <v>5</v>
      </c>
      <c r="H85">
        <v>40498</v>
      </c>
      <c r="I85">
        <v>20</v>
      </c>
      <c r="J85">
        <v>161992</v>
      </c>
      <c r="K85" t="s">
        <v>31</v>
      </c>
      <c r="L85" t="s">
        <v>23</v>
      </c>
      <c r="P85" t="str">
        <f t="shared" si="4"/>
        <v>Jun</v>
      </c>
      <c r="R85" t="str">
        <f t="shared" si="5"/>
        <v>High Sales</v>
      </c>
      <c r="S85" t="str">
        <f t="shared" si="6"/>
        <v>High Discount</v>
      </c>
      <c r="T85" t="str">
        <f t="shared" si="7"/>
        <v>Successful</v>
      </c>
    </row>
    <row r="86" spans="1:20" hidden="1" x14ac:dyDescent="0.25">
      <c r="A86" t="s">
        <v>126</v>
      </c>
      <c r="B86" s="3">
        <v>45832</v>
      </c>
      <c r="C86">
        <v>1036</v>
      </c>
      <c r="D86" t="s">
        <v>40</v>
      </c>
      <c r="E86" t="s">
        <v>51</v>
      </c>
      <c r="F86" t="s">
        <v>21</v>
      </c>
      <c r="G86">
        <v>2</v>
      </c>
      <c r="H86">
        <v>23753</v>
      </c>
      <c r="I86">
        <v>15</v>
      </c>
      <c r="J86">
        <v>40380.1</v>
      </c>
      <c r="K86" t="s">
        <v>16</v>
      </c>
      <c r="L86" t="s">
        <v>17</v>
      </c>
      <c r="P86" t="str">
        <f t="shared" si="4"/>
        <v>Jun</v>
      </c>
      <c r="R86" t="str">
        <f t="shared" si="5"/>
        <v>High Sales</v>
      </c>
      <c r="S86" t="str">
        <f t="shared" si="6"/>
        <v>Low Discount</v>
      </c>
      <c r="T86" t="str">
        <f t="shared" si="7"/>
        <v>Pending</v>
      </c>
    </row>
    <row r="87" spans="1:20" hidden="1" x14ac:dyDescent="0.25">
      <c r="A87" t="s">
        <v>127</v>
      </c>
      <c r="B87" s="3">
        <v>45908</v>
      </c>
      <c r="C87">
        <v>1072</v>
      </c>
      <c r="D87" t="s">
        <v>58</v>
      </c>
      <c r="E87" t="s">
        <v>33</v>
      </c>
      <c r="F87" t="s">
        <v>34</v>
      </c>
      <c r="G87">
        <v>1</v>
      </c>
      <c r="H87">
        <v>16317</v>
      </c>
      <c r="I87">
        <v>20</v>
      </c>
      <c r="J87">
        <v>13053.6</v>
      </c>
      <c r="K87" t="s">
        <v>41</v>
      </c>
      <c r="L87" t="s">
        <v>17</v>
      </c>
      <c r="P87" t="str">
        <f t="shared" si="4"/>
        <v>Sep</v>
      </c>
      <c r="R87" t="str">
        <f t="shared" si="5"/>
        <v>High Sales</v>
      </c>
      <c r="S87" t="str">
        <f t="shared" si="6"/>
        <v>High Discount</v>
      </c>
      <c r="T87" t="str">
        <f t="shared" si="7"/>
        <v>Pending</v>
      </c>
    </row>
    <row r="88" spans="1:20" x14ac:dyDescent="0.25">
      <c r="A88" t="s">
        <v>128</v>
      </c>
      <c r="B88" s="3">
        <v>45808</v>
      </c>
      <c r="C88">
        <v>1029</v>
      </c>
      <c r="D88" t="s">
        <v>25</v>
      </c>
      <c r="E88" t="s">
        <v>51</v>
      </c>
      <c r="F88" t="s">
        <v>21</v>
      </c>
      <c r="G88">
        <v>4</v>
      </c>
      <c r="H88">
        <v>1630</v>
      </c>
      <c r="I88">
        <v>5</v>
      </c>
      <c r="J88">
        <v>6194</v>
      </c>
      <c r="K88" t="s">
        <v>22</v>
      </c>
      <c r="L88" t="s">
        <v>26</v>
      </c>
      <c r="P88" t="str">
        <f t="shared" si="4"/>
        <v>May</v>
      </c>
      <c r="R88" t="str">
        <f t="shared" si="5"/>
        <v>High Sales</v>
      </c>
      <c r="S88" t="str">
        <f t="shared" si="6"/>
        <v>Low Discount</v>
      </c>
      <c r="T88" t="str">
        <f t="shared" si="7"/>
        <v>Pending</v>
      </c>
    </row>
    <row r="89" spans="1:20" hidden="1" x14ac:dyDescent="0.25">
      <c r="A89" t="s">
        <v>129</v>
      </c>
      <c r="B89" s="3">
        <v>45929</v>
      </c>
      <c r="C89">
        <v>1045</v>
      </c>
      <c r="D89" t="s">
        <v>25</v>
      </c>
      <c r="E89" t="s">
        <v>29</v>
      </c>
      <c r="F89" t="s">
        <v>30</v>
      </c>
      <c r="G89">
        <v>3</v>
      </c>
      <c r="H89">
        <v>31515</v>
      </c>
      <c r="I89">
        <v>25</v>
      </c>
      <c r="J89">
        <v>70908.75</v>
      </c>
      <c r="K89" t="s">
        <v>31</v>
      </c>
      <c r="L89" t="s">
        <v>26</v>
      </c>
      <c r="P89" t="str">
        <f t="shared" si="4"/>
        <v>Sep</v>
      </c>
      <c r="R89" t="str">
        <f t="shared" si="5"/>
        <v>High Sales</v>
      </c>
      <c r="S89" t="str">
        <f t="shared" si="6"/>
        <v>High Discount</v>
      </c>
      <c r="T89" t="str">
        <f t="shared" si="7"/>
        <v>Pending</v>
      </c>
    </row>
    <row r="90" spans="1:20" hidden="1" x14ac:dyDescent="0.25">
      <c r="A90" t="s">
        <v>130</v>
      </c>
      <c r="B90" s="3">
        <v>45776</v>
      </c>
      <c r="C90">
        <v>1016</v>
      </c>
      <c r="D90" t="s">
        <v>58</v>
      </c>
      <c r="E90" t="s">
        <v>51</v>
      </c>
      <c r="F90" t="s">
        <v>21</v>
      </c>
      <c r="G90">
        <v>3</v>
      </c>
      <c r="H90">
        <v>20594</v>
      </c>
      <c r="I90">
        <v>15</v>
      </c>
      <c r="J90">
        <v>52514.7</v>
      </c>
      <c r="K90" t="s">
        <v>31</v>
      </c>
      <c r="L90" t="s">
        <v>23</v>
      </c>
      <c r="P90" t="str">
        <f t="shared" si="4"/>
        <v>Apr</v>
      </c>
      <c r="R90" t="str">
        <f t="shared" si="5"/>
        <v>High Sales</v>
      </c>
      <c r="S90" t="str">
        <f t="shared" si="6"/>
        <v>Low Discount</v>
      </c>
      <c r="T90" t="str">
        <f t="shared" si="7"/>
        <v>Successful</v>
      </c>
    </row>
    <row r="91" spans="1:20" hidden="1" x14ac:dyDescent="0.25">
      <c r="A91" t="s">
        <v>131</v>
      </c>
      <c r="B91" s="3">
        <v>45905</v>
      </c>
      <c r="C91">
        <v>1036</v>
      </c>
      <c r="D91" t="s">
        <v>40</v>
      </c>
      <c r="E91" t="s">
        <v>20</v>
      </c>
      <c r="F91" t="s">
        <v>21</v>
      </c>
      <c r="G91">
        <v>2</v>
      </c>
      <c r="H91">
        <v>13052</v>
      </c>
      <c r="I91">
        <v>10</v>
      </c>
      <c r="J91">
        <v>23493.599999999999</v>
      </c>
      <c r="K91" t="s">
        <v>16</v>
      </c>
      <c r="L91" t="s">
        <v>23</v>
      </c>
      <c r="P91" t="str">
        <f t="shared" si="4"/>
        <v>Sep</v>
      </c>
      <c r="R91" t="str">
        <f t="shared" si="5"/>
        <v>High Sales</v>
      </c>
      <c r="S91" t="str">
        <f t="shared" si="6"/>
        <v>Low Discount</v>
      </c>
      <c r="T91" t="str">
        <f t="shared" si="7"/>
        <v>Successful</v>
      </c>
    </row>
    <row r="92" spans="1:20" hidden="1" x14ac:dyDescent="0.25">
      <c r="A92" t="s">
        <v>132</v>
      </c>
      <c r="B92" s="3">
        <v>45812</v>
      </c>
      <c r="C92">
        <v>1002</v>
      </c>
      <c r="D92" t="s">
        <v>13</v>
      </c>
      <c r="E92" t="s">
        <v>36</v>
      </c>
      <c r="F92" t="s">
        <v>37</v>
      </c>
      <c r="G92">
        <v>2</v>
      </c>
      <c r="H92">
        <v>24150</v>
      </c>
      <c r="I92">
        <v>10</v>
      </c>
      <c r="J92">
        <v>43470</v>
      </c>
      <c r="K92" t="s">
        <v>31</v>
      </c>
      <c r="L92" t="s">
        <v>23</v>
      </c>
      <c r="P92" t="str">
        <f t="shared" si="4"/>
        <v>Jun</v>
      </c>
      <c r="R92" t="str">
        <f t="shared" si="5"/>
        <v>High Sales</v>
      </c>
      <c r="S92" t="str">
        <f t="shared" si="6"/>
        <v>Low Discount</v>
      </c>
      <c r="T92" t="str">
        <f t="shared" si="7"/>
        <v>Successful</v>
      </c>
    </row>
    <row r="93" spans="1:20" hidden="1" x14ac:dyDescent="0.25">
      <c r="A93" t="s">
        <v>133</v>
      </c>
      <c r="B93" s="3">
        <v>45984</v>
      </c>
      <c r="C93">
        <v>1097</v>
      </c>
      <c r="D93" t="s">
        <v>49</v>
      </c>
      <c r="E93" t="s">
        <v>65</v>
      </c>
      <c r="F93" t="s">
        <v>15</v>
      </c>
      <c r="G93">
        <v>5</v>
      </c>
      <c r="H93">
        <v>19645</v>
      </c>
      <c r="I93">
        <v>10</v>
      </c>
      <c r="J93">
        <v>88402.5</v>
      </c>
      <c r="K93" t="s">
        <v>16</v>
      </c>
      <c r="L93" t="s">
        <v>23</v>
      </c>
      <c r="P93" t="str">
        <f t="shared" si="4"/>
        <v>Nov</v>
      </c>
      <c r="R93" t="str">
        <f t="shared" si="5"/>
        <v>High Sales</v>
      </c>
      <c r="S93" t="str">
        <f t="shared" si="6"/>
        <v>Low Discount</v>
      </c>
      <c r="T93" t="str">
        <f t="shared" si="7"/>
        <v>Successful</v>
      </c>
    </row>
    <row r="94" spans="1:20" hidden="1" x14ac:dyDescent="0.25">
      <c r="A94" t="s">
        <v>134</v>
      </c>
      <c r="B94" s="3">
        <v>45883</v>
      </c>
      <c r="C94">
        <v>1044</v>
      </c>
      <c r="D94" t="s">
        <v>13</v>
      </c>
      <c r="E94" t="s">
        <v>29</v>
      </c>
      <c r="F94" t="s">
        <v>30</v>
      </c>
      <c r="G94">
        <v>3</v>
      </c>
      <c r="H94">
        <v>31262</v>
      </c>
      <c r="I94">
        <v>20</v>
      </c>
      <c r="J94">
        <v>75028.800000000003</v>
      </c>
      <c r="K94" t="s">
        <v>16</v>
      </c>
      <c r="L94" t="s">
        <v>26</v>
      </c>
      <c r="P94" t="str">
        <f t="shared" si="4"/>
        <v>Aug</v>
      </c>
      <c r="R94" t="str">
        <f t="shared" si="5"/>
        <v>High Sales</v>
      </c>
      <c r="S94" t="str">
        <f t="shared" si="6"/>
        <v>High Discount</v>
      </c>
      <c r="T94" t="str">
        <f t="shared" si="7"/>
        <v>Pending</v>
      </c>
    </row>
    <row r="95" spans="1:20" x14ac:dyDescent="0.25">
      <c r="A95" t="s">
        <v>135</v>
      </c>
      <c r="B95" s="3">
        <v>45909</v>
      </c>
      <c r="C95">
        <v>1010</v>
      </c>
      <c r="D95" t="s">
        <v>47</v>
      </c>
      <c r="E95" t="s">
        <v>51</v>
      </c>
      <c r="F95" t="s">
        <v>21</v>
      </c>
      <c r="G95">
        <v>1</v>
      </c>
      <c r="H95">
        <v>4782</v>
      </c>
      <c r="I95">
        <v>20</v>
      </c>
      <c r="J95">
        <v>3825.6</v>
      </c>
      <c r="K95" t="s">
        <v>22</v>
      </c>
      <c r="L95" t="s">
        <v>23</v>
      </c>
      <c r="P95" t="str">
        <f t="shared" si="4"/>
        <v>Sep</v>
      </c>
      <c r="R95" t="str">
        <f t="shared" si="5"/>
        <v>Medium Sales</v>
      </c>
      <c r="S95" t="str">
        <f t="shared" si="6"/>
        <v>High Discount</v>
      </c>
      <c r="T95" t="str">
        <f t="shared" si="7"/>
        <v>Successful</v>
      </c>
    </row>
    <row r="96" spans="1:20" x14ac:dyDescent="0.25">
      <c r="A96" t="s">
        <v>136</v>
      </c>
      <c r="B96" s="3">
        <v>45718</v>
      </c>
      <c r="C96">
        <v>1072</v>
      </c>
      <c r="D96" t="s">
        <v>25</v>
      </c>
      <c r="E96" t="s">
        <v>29</v>
      </c>
      <c r="F96" t="s">
        <v>30</v>
      </c>
      <c r="G96">
        <v>3</v>
      </c>
      <c r="H96">
        <v>6082</v>
      </c>
      <c r="I96">
        <v>10</v>
      </c>
      <c r="J96">
        <v>16421.400000000001</v>
      </c>
      <c r="K96" t="s">
        <v>22</v>
      </c>
      <c r="L96" t="s">
        <v>17</v>
      </c>
      <c r="P96" t="str">
        <f t="shared" si="4"/>
        <v>Mar</v>
      </c>
      <c r="R96" t="str">
        <f t="shared" si="5"/>
        <v>High Sales</v>
      </c>
      <c r="S96" t="str">
        <f t="shared" si="6"/>
        <v>Low Discount</v>
      </c>
      <c r="T96" t="str">
        <f t="shared" si="7"/>
        <v>Pending</v>
      </c>
    </row>
    <row r="97" spans="1:20" hidden="1" x14ac:dyDescent="0.25">
      <c r="A97" t="s">
        <v>137</v>
      </c>
      <c r="B97" s="3">
        <v>45959</v>
      </c>
      <c r="C97">
        <v>1055</v>
      </c>
      <c r="D97" t="s">
        <v>40</v>
      </c>
      <c r="E97" t="s">
        <v>53</v>
      </c>
      <c r="F97" t="s">
        <v>15</v>
      </c>
      <c r="G97">
        <v>4</v>
      </c>
      <c r="H97">
        <v>29514</v>
      </c>
      <c r="I97">
        <v>15</v>
      </c>
      <c r="J97">
        <v>100347.6</v>
      </c>
      <c r="K97" t="s">
        <v>16</v>
      </c>
      <c r="L97" t="s">
        <v>17</v>
      </c>
      <c r="P97" t="str">
        <f t="shared" si="4"/>
        <v>Oct</v>
      </c>
      <c r="R97" t="str">
        <f t="shared" si="5"/>
        <v>High Sales</v>
      </c>
      <c r="S97" t="str">
        <f t="shared" si="6"/>
        <v>Low Discount</v>
      </c>
      <c r="T97" t="str">
        <f t="shared" si="7"/>
        <v>Pending</v>
      </c>
    </row>
    <row r="98" spans="1:20" x14ac:dyDescent="0.25">
      <c r="A98" t="s">
        <v>138</v>
      </c>
      <c r="B98" s="3">
        <v>45793</v>
      </c>
      <c r="C98">
        <v>1085</v>
      </c>
      <c r="D98" t="s">
        <v>19</v>
      </c>
      <c r="E98" t="s">
        <v>14</v>
      </c>
      <c r="F98" t="s">
        <v>15</v>
      </c>
      <c r="G98">
        <v>2</v>
      </c>
      <c r="H98">
        <v>41493</v>
      </c>
      <c r="I98">
        <v>10</v>
      </c>
      <c r="J98">
        <v>74687.399999999994</v>
      </c>
      <c r="K98" t="s">
        <v>22</v>
      </c>
      <c r="L98" t="s">
        <v>23</v>
      </c>
      <c r="P98" t="str">
        <f t="shared" si="4"/>
        <v>May</v>
      </c>
      <c r="R98" t="str">
        <f t="shared" si="5"/>
        <v>High Sales</v>
      </c>
      <c r="S98" t="str">
        <f t="shared" si="6"/>
        <v>Low Discount</v>
      </c>
      <c r="T98" t="str">
        <f t="shared" si="7"/>
        <v>Successful</v>
      </c>
    </row>
    <row r="99" spans="1:20" hidden="1" x14ac:dyDescent="0.25">
      <c r="A99" t="s">
        <v>139</v>
      </c>
      <c r="B99" s="3">
        <v>45659</v>
      </c>
      <c r="C99">
        <v>1053</v>
      </c>
      <c r="D99" t="s">
        <v>49</v>
      </c>
      <c r="E99" t="s">
        <v>45</v>
      </c>
      <c r="F99" t="s">
        <v>37</v>
      </c>
      <c r="G99">
        <v>5</v>
      </c>
      <c r="H99">
        <v>5419</v>
      </c>
      <c r="I99">
        <v>10</v>
      </c>
      <c r="J99">
        <v>24385.5</v>
      </c>
      <c r="K99" t="s">
        <v>41</v>
      </c>
      <c r="L99" t="s">
        <v>26</v>
      </c>
      <c r="P99" t="str">
        <f t="shared" si="4"/>
        <v>Jan</v>
      </c>
      <c r="R99" t="str">
        <f t="shared" si="5"/>
        <v>High Sales</v>
      </c>
      <c r="S99" t="str">
        <f t="shared" si="6"/>
        <v>Low Discount</v>
      </c>
      <c r="T99" t="str">
        <f t="shared" si="7"/>
        <v>Pending</v>
      </c>
    </row>
    <row r="100" spans="1:20" x14ac:dyDescent="0.25">
      <c r="A100" t="s">
        <v>140</v>
      </c>
      <c r="B100" s="3">
        <v>46017</v>
      </c>
      <c r="C100">
        <v>1059</v>
      </c>
      <c r="D100" t="s">
        <v>19</v>
      </c>
      <c r="E100" t="s">
        <v>65</v>
      </c>
      <c r="F100" t="s">
        <v>15</v>
      </c>
      <c r="G100">
        <v>2</v>
      </c>
      <c r="H100">
        <v>19381</v>
      </c>
      <c r="I100">
        <v>15</v>
      </c>
      <c r="J100">
        <v>32947.699999999997</v>
      </c>
      <c r="K100" t="s">
        <v>22</v>
      </c>
      <c r="L100" t="s">
        <v>26</v>
      </c>
      <c r="P100" t="str">
        <f t="shared" si="4"/>
        <v>Dec</v>
      </c>
      <c r="R100" t="str">
        <f t="shared" si="5"/>
        <v>High Sales</v>
      </c>
      <c r="S100" t="str">
        <f t="shared" si="6"/>
        <v>Low Discount</v>
      </c>
      <c r="T100" t="str">
        <f t="shared" si="7"/>
        <v>Pending</v>
      </c>
    </row>
    <row r="101" spans="1:20" hidden="1" x14ac:dyDescent="0.25">
      <c r="A101" t="s">
        <v>141</v>
      </c>
      <c r="B101" s="3">
        <v>45936</v>
      </c>
      <c r="C101">
        <v>1029</v>
      </c>
      <c r="D101" t="s">
        <v>13</v>
      </c>
      <c r="E101" t="s">
        <v>29</v>
      </c>
      <c r="F101" t="s">
        <v>30</v>
      </c>
      <c r="G101">
        <v>2</v>
      </c>
      <c r="H101">
        <v>28361</v>
      </c>
      <c r="I101">
        <v>5</v>
      </c>
      <c r="J101">
        <v>53885.9</v>
      </c>
      <c r="K101" t="s">
        <v>31</v>
      </c>
      <c r="L101" t="s">
        <v>23</v>
      </c>
      <c r="P101" t="str">
        <f t="shared" si="4"/>
        <v>Oct</v>
      </c>
      <c r="R101" t="str">
        <f t="shared" si="5"/>
        <v>High Sales</v>
      </c>
      <c r="S101" t="str">
        <f t="shared" si="6"/>
        <v>Low Discount</v>
      </c>
      <c r="T101" t="str">
        <f t="shared" si="7"/>
        <v>Successful</v>
      </c>
    </row>
    <row r="102" spans="1:20" hidden="1" x14ac:dyDescent="0.25">
      <c r="A102" t="s">
        <v>142</v>
      </c>
      <c r="B102" s="3">
        <v>45962</v>
      </c>
      <c r="C102">
        <v>1096</v>
      </c>
      <c r="D102" t="s">
        <v>40</v>
      </c>
      <c r="E102" t="s">
        <v>14</v>
      </c>
      <c r="F102" t="s">
        <v>15</v>
      </c>
      <c r="G102">
        <v>1</v>
      </c>
      <c r="H102">
        <v>11373</v>
      </c>
      <c r="I102">
        <v>15</v>
      </c>
      <c r="J102">
        <v>9667.0499999999993</v>
      </c>
      <c r="K102" t="s">
        <v>41</v>
      </c>
      <c r="L102" t="s">
        <v>23</v>
      </c>
      <c r="P102" t="str">
        <f t="shared" si="4"/>
        <v>Nov</v>
      </c>
      <c r="R102" t="str">
        <f t="shared" si="5"/>
        <v>High Sales</v>
      </c>
      <c r="S102" t="str">
        <f t="shared" si="6"/>
        <v>Low Discount</v>
      </c>
      <c r="T102" t="str">
        <f t="shared" si="7"/>
        <v>Successful</v>
      </c>
    </row>
    <row r="103" spans="1:20" hidden="1" x14ac:dyDescent="0.25">
      <c r="A103" t="s">
        <v>143</v>
      </c>
      <c r="B103" s="3">
        <v>45797</v>
      </c>
      <c r="C103">
        <v>1065</v>
      </c>
      <c r="D103" t="s">
        <v>49</v>
      </c>
      <c r="E103" t="s">
        <v>51</v>
      </c>
      <c r="F103" t="s">
        <v>21</v>
      </c>
      <c r="G103">
        <v>3</v>
      </c>
      <c r="H103">
        <v>46357</v>
      </c>
      <c r="I103">
        <v>20</v>
      </c>
      <c r="J103">
        <v>111256.8</v>
      </c>
      <c r="K103" t="s">
        <v>41</v>
      </c>
      <c r="L103" t="s">
        <v>23</v>
      </c>
      <c r="P103" t="str">
        <f t="shared" si="4"/>
        <v>May</v>
      </c>
      <c r="R103" t="str">
        <f t="shared" si="5"/>
        <v>High Sales</v>
      </c>
      <c r="S103" t="str">
        <f t="shared" si="6"/>
        <v>High Discount</v>
      </c>
      <c r="T103" t="str">
        <f t="shared" si="7"/>
        <v>Successful</v>
      </c>
    </row>
    <row r="104" spans="1:20" hidden="1" x14ac:dyDescent="0.25">
      <c r="A104" t="s">
        <v>144</v>
      </c>
      <c r="B104" s="3">
        <v>45967</v>
      </c>
      <c r="C104">
        <v>1033</v>
      </c>
      <c r="D104" t="s">
        <v>47</v>
      </c>
      <c r="E104" t="s">
        <v>29</v>
      </c>
      <c r="F104" t="s">
        <v>30</v>
      </c>
      <c r="G104">
        <v>1</v>
      </c>
      <c r="H104">
        <v>28813</v>
      </c>
      <c r="I104">
        <v>15</v>
      </c>
      <c r="J104">
        <v>24491.05</v>
      </c>
      <c r="K104" t="s">
        <v>16</v>
      </c>
      <c r="L104" t="s">
        <v>23</v>
      </c>
      <c r="P104" t="str">
        <f t="shared" si="4"/>
        <v>Nov</v>
      </c>
      <c r="R104" t="str">
        <f t="shared" si="5"/>
        <v>High Sales</v>
      </c>
      <c r="S104" t="str">
        <f t="shared" si="6"/>
        <v>Low Discount</v>
      </c>
      <c r="T104" t="str">
        <f t="shared" si="7"/>
        <v>Successful</v>
      </c>
    </row>
    <row r="105" spans="1:20" hidden="1" x14ac:dyDescent="0.25">
      <c r="A105" t="s">
        <v>145</v>
      </c>
      <c r="B105" s="3">
        <v>45953</v>
      </c>
      <c r="C105">
        <v>1006</v>
      </c>
      <c r="D105" t="s">
        <v>13</v>
      </c>
      <c r="E105" t="s">
        <v>29</v>
      </c>
      <c r="F105" t="s">
        <v>30</v>
      </c>
      <c r="G105">
        <v>5</v>
      </c>
      <c r="H105">
        <v>1859</v>
      </c>
      <c r="I105">
        <v>15</v>
      </c>
      <c r="J105">
        <v>7900.75</v>
      </c>
      <c r="K105" t="s">
        <v>41</v>
      </c>
      <c r="L105" t="s">
        <v>17</v>
      </c>
      <c r="P105" t="str">
        <f t="shared" si="4"/>
        <v>Oct</v>
      </c>
      <c r="R105" t="str">
        <f t="shared" si="5"/>
        <v>High Sales</v>
      </c>
      <c r="S105" t="str">
        <f t="shared" si="6"/>
        <v>Low Discount</v>
      </c>
      <c r="T105" t="str">
        <f t="shared" si="7"/>
        <v>Pending</v>
      </c>
    </row>
    <row r="106" spans="1:20" hidden="1" x14ac:dyDescent="0.25">
      <c r="A106" t="s">
        <v>146</v>
      </c>
      <c r="B106" s="3">
        <v>45881</v>
      </c>
      <c r="C106">
        <v>1082</v>
      </c>
      <c r="D106" t="s">
        <v>49</v>
      </c>
      <c r="E106" t="s">
        <v>51</v>
      </c>
      <c r="F106" t="s">
        <v>21</v>
      </c>
      <c r="G106">
        <v>3</v>
      </c>
      <c r="H106">
        <v>12394</v>
      </c>
      <c r="I106">
        <v>25</v>
      </c>
      <c r="J106">
        <v>27886.5</v>
      </c>
      <c r="K106" t="s">
        <v>16</v>
      </c>
      <c r="L106" t="s">
        <v>26</v>
      </c>
      <c r="P106" t="str">
        <f t="shared" si="4"/>
        <v>Aug</v>
      </c>
      <c r="R106" t="str">
        <f t="shared" si="5"/>
        <v>High Sales</v>
      </c>
      <c r="S106" t="str">
        <f t="shared" si="6"/>
        <v>High Discount</v>
      </c>
      <c r="T106" t="str">
        <f t="shared" si="7"/>
        <v>Pending</v>
      </c>
    </row>
    <row r="107" spans="1:20" hidden="1" x14ac:dyDescent="0.25">
      <c r="A107" t="s">
        <v>147</v>
      </c>
      <c r="B107" s="3">
        <v>46001</v>
      </c>
      <c r="C107">
        <v>1014</v>
      </c>
      <c r="D107" t="s">
        <v>13</v>
      </c>
      <c r="E107" t="s">
        <v>43</v>
      </c>
      <c r="F107" t="s">
        <v>15</v>
      </c>
      <c r="G107">
        <v>4</v>
      </c>
      <c r="H107">
        <v>22343</v>
      </c>
      <c r="I107">
        <v>15</v>
      </c>
      <c r="J107">
        <v>75966.2</v>
      </c>
      <c r="K107" t="s">
        <v>31</v>
      </c>
      <c r="L107" t="s">
        <v>26</v>
      </c>
      <c r="P107" t="str">
        <f t="shared" si="4"/>
        <v>Dec</v>
      </c>
      <c r="R107" t="str">
        <f t="shared" si="5"/>
        <v>High Sales</v>
      </c>
      <c r="S107" t="str">
        <f t="shared" si="6"/>
        <v>Low Discount</v>
      </c>
      <c r="T107" t="str">
        <f t="shared" si="7"/>
        <v>Pending</v>
      </c>
    </row>
    <row r="108" spans="1:20" hidden="1" x14ac:dyDescent="0.25">
      <c r="A108" t="s">
        <v>148</v>
      </c>
      <c r="B108" s="3">
        <v>45939</v>
      </c>
      <c r="C108">
        <v>1005</v>
      </c>
      <c r="D108" t="s">
        <v>49</v>
      </c>
      <c r="E108" t="s">
        <v>51</v>
      </c>
      <c r="F108" t="s">
        <v>21</v>
      </c>
      <c r="G108">
        <v>3</v>
      </c>
      <c r="H108">
        <v>43923</v>
      </c>
      <c r="I108">
        <v>20</v>
      </c>
      <c r="J108">
        <v>105415.2</v>
      </c>
      <c r="K108" t="s">
        <v>16</v>
      </c>
      <c r="L108" t="s">
        <v>26</v>
      </c>
      <c r="P108" t="str">
        <f t="shared" si="4"/>
        <v>Oct</v>
      </c>
      <c r="R108" t="str">
        <f t="shared" si="5"/>
        <v>High Sales</v>
      </c>
      <c r="S108" t="str">
        <f t="shared" si="6"/>
        <v>High Discount</v>
      </c>
      <c r="T108" t="str">
        <f t="shared" si="7"/>
        <v>Pending</v>
      </c>
    </row>
    <row r="109" spans="1:20" hidden="1" x14ac:dyDescent="0.25">
      <c r="A109" t="s">
        <v>149</v>
      </c>
      <c r="B109" s="3">
        <v>45921</v>
      </c>
      <c r="C109">
        <v>1001</v>
      </c>
      <c r="D109" t="s">
        <v>49</v>
      </c>
      <c r="E109" t="s">
        <v>36</v>
      </c>
      <c r="F109" t="s">
        <v>37</v>
      </c>
      <c r="G109">
        <v>3</v>
      </c>
      <c r="H109">
        <v>8097</v>
      </c>
      <c r="I109">
        <v>20</v>
      </c>
      <c r="J109">
        <v>19432.8</v>
      </c>
      <c r="K109" t="s">
        <v>41</v>
      </c>
      <c r="L109" t="s">
        <v>23</v>
      </c>
      <c r="P109" t="str">
        <f t="shared" si="4"/>
        <v>Sep</v>
      </c>
      <c r="R109" t="str">
        <f t="shared" si="5"/>
        <v>High Sales</v>
      </c>
      <c r="S109" t="str">
        <f t="shared" si="6"/>
        <v>High Discount</v>
      </c>
      <c r="T109" t="str">
        <f t="shared" si="7"/>
        <v>Successful</v>
      </c>
    </row>
    <row r="110" spans="1:20" hidden="1" x14ac:dyDescent="0.25">
      <c r="A110" t="s">
        <v>150</v>
      </c>
      <c r="B110" s="3">
        <v>45913</v>
      </c>
      <c r="C110">
        <v>1081</v>
      </c>
      <c r="D110" t="s">
        <v>49</v>
      </c>
      <c r="E110" t="s">
        <v>33</v>
      </c>
      <c r="F110" t="s">
        <v>34</v>
      </c>
      <c r="G110">
        <v>5</v>
      </c>
      <c r="H110">
        <v>24209</v>
      </c>
      <c r="I110">
        <v>25</v>
      </c>
      <c r="J110">
        <v>90783.75</v>
      </c>
      <c r="K110" t="s">
        <v>16</v>
      </c>
      <c r="L110" t="s">
        <v>23</v>
      </c>
      <c r="P110" t="str">
        <f t="shared" si="4"/>
        <v>Sep</v>
      </c>
      <c r="R110" t="str">
        <f t="shared" si="5"/>
        <v>High Sales</v>
      </c>
      <c r="S110" t="str">
        <f t="shared" si="6"/>
        <v>High Discount</v>
      </c>
      <c r="T110" t="str">
        <f t="shared" si="7"/>
        <v>Successful</v>
      </c>
    </row>
    <row r="111" spans="1:20" hidden="1" x14ac:dyDescent="0.25">
      <c r="A111" t="s">
        <v>151</v>
      </c>
      <c r="B111" s="3">
        <v>45882</v>
      </c>
      <c r="C111">
        <v>1090</v>
      </c>
      <c r="D111" t="s">
        <v>49</v>
      </c>
      <c r="E111" t="s">
        <v>36</v>
      </c>
      <c r="F111" t="s">
        <v>37</v>
      </c>
      <c r="G111">
        <v>5</v>
      </c>
      <c r="H111">
        <v>9086</v>
      </c>
      <c r="I111">
        <v>15</v>
      </c>
      <c r="J111">
        <v>38615.5</v>
      </c>
      <c r="K111" t="s">
        <v>16</v>
      </c>
      <c r="L111" t="s">
        <v>23</v>
      </c>
      <c r="P111" t="str">
        <f t="shared" si="4"/>
        <v>Aug</v>
      </c>
      <c r="R111" t="str">
        <f t="shared" si="5"/>
        <v>High Sales</v>
      </c>
      <c r="S111" t="str">
        <f t="shared" si="6"/>
        <v>Low Discount</v>
      </c>
      <c r="T111" t="str">
        <f t="shared" si="7"/>
        <v>Successful</v>
      </c>
    </row>
    <row r="112" spans="1:20" hidden="1" x14ac:dyDescent="0.25">
      <c r="A112" t="s">
        <v>152</v>
      </c>
      <c r="B112" s="3">
        <v>45817</v>
      </c>
      <c r="C112">
        <v>1071</v>
      </c>
      <c r="D112" t="s">
        <v>47</v>
      </c>
      <c r="E112" t="s">
        <v>29</v>
      </c>
      <c r="F112" t="s">
        <v>30</v>
      </c>
      <c r="G112">
        <v>2</v>
      </c>
      <c r="H112">
        <v>47016</v>
      </c>
      <c r="I112">
        <v>10</v>
      </c>
      <c r="J112">
        <v>84628.800000000003</v>
      </c>
      <c r="K112" t="s">
        <v>41</v>
      </c>
      <c r="L112" t="s">
        <v>23</v>
      </c>
      <c r="P112" t="str">
        <f t="shared" si="4"/>
        <v>Jun</v>
      </c>
      <c r="R112" t="str">
        <f t="shared" si="5"/>
        <v>High Sales</v>
      </c>
      <c r="S112" t="str">
        <f t="shared" si="6"/>
        <v>Low Discount</v>
      </c>
      <c r="T112" t="str">
        <f t="shared" si="7"/>
        <v>Successful</v>
      </c>
    </row>
    <row r="113" spans="1:20" hidden="1" x14ac:dyDescent="0.25">
      <c r="A113" t="s">
        <v>153</v>
      </c>
      <c r="B113" s="3">
        <v>45989</v>
      </c>
      <c r="C113">
        <v>1020</v>
      </c>
      <c r="D113" t="s">
        <v>49</v>
      </c>
      <c r="E113" t="s">
        <v>33</v>
      </c>
      <c r="F113" t="s">
        <v>34</v>
      </c>
      <c r="G113">
        <v>1</v>
      </c>
      <c r="H113">
        <v>30741</v>
      </c>
      <c r="I113">
        <v>5</v>
      </c>
      <c r="J113">
        <v>29203.95</v>
      </c>
      <c r="K113" t="s">
        <v>31</v>
      </c>
      <c r="L113" t="s">
        <v>17</v>
      </c>
      <c r="P113" t="str">
        <f t="shared" si="4"/>
        <v>Nov</v>
      </c>
      <c r="R113" t="str">
        <f t="shared" si="5"/>
        <v>High Sales</v>
      </c>
      <c r="S113" t="str">
        <f t="shared" si="6"/>
        <v>Low Discount</v>
      </c>
      <c r="T113" t="str">
        <f t="shared" si="7"/>
        <v>Pending</v>
      </c>
    </row>
    <row r="114" spans="1:20" hidden="1" x14ac:dyDescent="0.25">
      <c r="A114" t="s">
        <v>154</v>
      </c>
      <c r="B114" s="3">
        <v>45782</v>
      </c>
      <c r="C114">
        <v>1059</v>
      </c>
      <c r="D114" t="s">
        <v>13</v>
      </c>
      <c r="E114" t="s">
        <v>36</v>
      </c>
      <c r="F114" t="s">
        <v>37</v>
      </c>
      <c r="G114">
        <v>4</v>
      </c>
      <c r="H114">
        <v>32121</v>
      </c>
      <c r="I114">
        <v>20</v>
      </c>
      <c r="J114">
        <v>102787.2</v>
      </c>
      <c r="K114" t="s">
        <v>41</v>
      </c>
      <c r="L114" t="s">
        <v>23</v>
      </c>
      <c r="P114" t="str">
        <f t="shared" si="4"/>
        <v>May</v>
      </c>
      <c r="R114" t="str">
        <f t="shared" si="5"/>
        <v>High Sales</v>
      </c>
      <c r="S114" t="str">
        <f t="shared" si="6"/>
        <v>High Discount</v>
      </c>
      <c r="T114" t="str">
        <f t="shared" si="7"/>
        <v>Successful</v>
      </c>
    </row>
    <row r="115" spans="1:20" hidden="1" x14ac:dyDescent="0.25">
      <c r="A115" t="s">
        <v>155</v>
      </c>
      <c r="B115" s="3">
        <v>45693</v>
      </c>
      <c r="C115">
        <v>1036</v>
      </c>
      <c r="D115" t="s">
        <v>25</v>
      </c>
      <c r="E115" t="s">
        <v>29</v>
      </c>
      <c r="F115" t="s">
        <v>30</v>
      </c>
      <c r="G115">
        <v>5</v>
      </c>
      <c r="H115">
        <v>49409</v>
      </c>
      <c r="I115">
        <v>10</v>
      </c>
      <c r="J115">
        <v>222340.5</v>
      </c>
      <c r="K115" t="s">
        <v>31</v>
      </c>
      <c r="L115" t="s">
        <v>17</v>
      </c>
      <c r="P115" t="str">
        <f t="shared" si="4"/>
        <v>Feb</v>
      </c>
      <c r="R115" t="str">
        <f t="shared" si="5"/>
        <v>High Sales</v>
      </c>
      <c r="S115" t="str">
        <f t="shared" si="6"/>
        <v>Low Discount</v>
      </c>
      <c r="T115" t="str">
        <f t="shared" si="7"/>
        <v>Pending</v>
      </c>
    </row>
    <row r="116" spans="1:20" x14ac:dyDescent="0.25">
      <c r="A116" t="s">
        <v>156</v>
      </c>
      <c r="B116" s="3">
        <v>45958</v>
      </c>
      <c r="C116">
        <v>1075</v>
      </c>
      <c r="D116" t="s">
        <v>49</v>
      </c>
      <c r="E116" t="s">
        <v>36</v>
      </c>
      <c r="F116" t="s">
        <v>37</v>
      </c>
      <c r="G116">
        <v>1</v>
      </c>
      <c r="H116">
        <v>19036</v>
      </c>
      <c r="I116">
        <v>15</v>
      </c>
      <c r="J116">
        <v>16180.6</v>
      </c>
      <c r="K116" t="s">
        <v>22</v>
      </c>
      <c r="L116" t="s">
        <v>26</v>
      </c>
      <c r="P116" t="str">
        <f t="shared" si="4"/>
        <v>Oct</v>
      </c>
      <c r="R116" t="str">
        <f t="shared" si="5"/>
        <v>High Sales</v>
      </c>
      <c r="S116" t="str">
        <f t="shared" si="6"/>
        <v>Low Discount</v>
      </c>
      <c r="T116" t="str">
        <f t="shared" si="7"/>
        <v>Pending</v>
      </c>
    </row>
    <row r="117" spans="1:20" hidden="1" x14ac:dyDescent="0.25">
      <c r="A117" t="s">
        <v>157</v>
      </c>
      <c r="B117" s="3">
        <v>45940</v>
      </c>
      <c r="C117">
        <v>1098</v>
      </c>
      <c r="D117" t="s">
        <v>25</v>
      </c>
      <c r="E117" t="s">
        <v>20</v>
      </c>
      <c r="F117" t="s">
        <v>21</v>
      </c>
      <c r="G117">
        <v>4</v>
      </c>
      <c r="H117">
        <v>23118</v>
      </c>
      <c r="I117">
        <v>15</v>
      </c>
      <c r="J117">
        <v>78601.2</v>
      </c>
      <c r="K117" t="s">
        <v>41</v>
      </c>
      <c r="L117" t="s">
        <v>26</v>
      </c>
      <c r="P117" t="str">
        <f t="shared" si="4"/>
        <v>Oct</v>
      </c>
      <c r="R117" t="str">
        <f t="shared" si="5"/>
        <v>High Sales</v>
      </c>
      <c r="S117" t="str">
        <f t="shared" si="6"/>
        <v>Low Discount</v>
      </c>
      <c r="T117" t="str">
        <f t="shared" si="7"/>
        <v>Pending</v>
      </c>
    </row>
    <row r="118" spans="1:20" hidden="1" x14ac:dyDescent="0.25">
      <c r="A118" t="s">
        <v>158</v>
      </c>
      <c r="B118" s="3">
        <v>45777</v>
      </c>
      <c r="C118">
        <v>1100</v>
      </c>
      <c r="D118" t="s">
        <v>25</v>
      </c>
      <c r="E118" t="s">
        <v>33</v>
      </c>
      <c r="F118" t="s">
        <v>34</v>
      </c>
      <c r="G118">
        <v>2</v>
      </c>
      <c r="H118">
        <v>37973</v>
      </c>
      <c r="I118">
        <v>20</v>
      </c>
      <c r="J118">
        <v>60756.800000000003</v>
      </c>
      <c r="K118" t="s">
        <v>16</v>
      </c>
      <c r="L118" t="s">
        <v>26</v>
      </c>
      <c r="P118" t="str">
        <f t="shared" si="4"/>
        <v>Apr</v>
      </c>
      <c r="R118" t="str">
        <f t="shared" si="5"/>
        <v>High Sales</v>
      </c>
      <c r="S118" t="str">
        <f t="shared" si="6"/>
        <v>High Discount</v>
      </c>
      <c r="T118" t="str">
        <f t="shared" si="7"/>
        <v>Pending</v>
      </c>
    </row>
    <row r="119" spans="1:20" hidden="1" x14ac:dyDescent="0.25">
      <c r="A119" t="s">
        <v>159</v>
      </c>
      <c r="B119" s="3">
        <v>45911</v>
      </c>
      <c r="C119">
        <v>1005</v>
      </c>
      <c r="D119" t="s">
        <v>13</v>
      </c>
      <c r="E119" t="s">
        <v>51</v>
      </c>
      <c r="F119" t="s">
        <v>21</v>
      </c>
      <c r="G119">
        <v>4</v>
      </c>
      <c r="H119">
        <v>25802</v>
      </c>
      <c r="I119">
        <v>10</v>
      </c>
      <c r="J119">
        <v>92887.2</v>
      </c>
      <c r="K119" t="s">
        <v>31</v>
      </c>
      <c r="L119" t="s">
        <v>23</v>
      </c>
      <c r="P119" t="str">
        <f t="shared" si="4"/>
        <v>Sep</v>
      </c>
      <c r="R119" t="str">
        <f t="shared" si="5"/>
        <v>High Sales</v>
      </c>
      <c r="S119" t="str">
        <f t="shared" si="6"/>
        <v>Low Discount</v>
      </c>
      <c r="T119" t="str">
        <f t="shared" si="7"/>
        <v>Successful</v>
      </c>
    </row>
    <row r="120" spans="1:20" hidden="1" x14ac:dyDescent="0.25">
      <c r="A120" t="s">
        <v>160</v>
      </c>
      <c r="B120" s="3">
        <v>45665</v>
      </c>
      <c r="C120">
        <v>1093</v>
      </c>
      <c r="D120" t="s">
        <v>13</v>
      </c>
      <c r="E120" t="s">
        <v>51</v>
      </c>
      <c r="F120" t="s">
        <v>21</v>
      </c>
      <c r="G120">
        <v>1</v>
      </c>
      <c r="H120">
        <v>34968</v>
      </c>
      <c r="I120">
        <v>20</v>
      </c>
      <c r="J120">
        <v>27974.400000000001</v>
      </c>
      <c r="K120" t="s">
        <v>41</v>
      </c>
      <c r="L120" t="s">
        <v>17</v>
      </c>
      <c r="P120" t="str">
        <f t="shared" si="4"/>
        <v>Jan</v>
      </c>
      <c r="R120" t="str">
        <f t="shared" si="5"/>
        <v>High Sales</v>
      </c>
      <c r="S120" t="str">
        <f t="shared" si="6"/>
        <v>High Discount</v>
      </c>
      <c r="T120" t="str">
        <f t="shared" si="7"/>
        <v>Pending</v>
      </c>
    </row>
    <row r="121" spans="1:20" hidden="1" x14ac:dyDescent="0.25">
      <c r="A121" t="s">
        <v>161</v>
      </c>
      <c r="B121" s="3">
        <v>45831</v>
      </c>
      <c r="C121">
        <v>1080</v>
      </c>
      <c r="D121" t="s">
        <v>25</v>
      </c>
      <c r="E121" t="s">
        <v>45</v>
      </c>
      <c r="F121" t="s">
        <v>37</v>
      </c>
      <c r="G121">
        <v>1</v>
      </c>
      <c r="H121">
        <v>31268</v>
      </c>
      <c r="I121">
        <v>15</v>
      </c>
      <c r="J121">
        <v>26577.8</v>
      </c>
      <c r="K121" t="s">
        <v>16</v>
      </c>
      <c r="L121" t="s">
        <v>26</v>
      </c>
      <c r="P121" t="str">
        <f t="shared" si="4"/>
        <v>Jun</v>
      </c>
      <c r="R121" t="str">
        <f t="shared" si="5"/>
        <v>High Sales</v>
      </c>
      <c r="S121" t="str">
        <f t="shared" si="6"/>
        <v>Low Discount</v>
      </c>
      <c r="T121" t="str">
        <f t="shared" si="7"/>
        <v>Pending</v>
      </c>
    </row>
    <row r="122" spans="1:20" x14ac:dyDescent="0.25">
      <c r="A122" t="s">
        <v>162</v>
      </c>
      <c r="B122" s="3">
        <v>45935</v>
      </c>
      <c r="C122">
        <v>1005</v>
      </c>
      <c r="D122" t="s">
        <v>19</v>
      </c>
      <c r="E122" t="s">
        <v>20</v>
      </c>
      <c r="F122" t="s">
        <v>21</v>
      </c>
      <c r="G122">
        <v>4</v>
      </c>
      <c r="H122">
        <v>21252</v>
      </c>
      <c r="I122">
        <v>20</v>
      </c>
      <c r="J122">
        <v>68006.399999999994</v>
      </c>
      <c r="K122" t="s">
        <v>22</v>
      </c>
      <c r="L122" t="s">
        <v>17</v>
      </c>
      <c r="P122" t="str">
        <f t="shared" si="4"/>
        <v>Oct</v>
      </c>
      <c r="R122" t="str">
        <f t="shared" si="5"/>
        <v>High Sales</v>
      </c>
      <c r="S122" t="str">
        <f t="shared" si="6"/>
        <v>High Discount</v>
      </c>
      <c r="T122" t="str">
        <f t="shared" si="7"/>
        <v>Pending</v>
      </c>
    </row>
    <row r="123" spans="1:20" hidden="1" x14ac:dyDescent="0.25">
      <c r="A123" t="s">
        <v>163</v>
      </c>
      <c r="B123" s="3">
        <v>45880</v>
      </c>
      <c r="C123">
        <v>1013</v>
      </c>
      <c r="D123" t="s">
        <v>19</v>
      </c>
      <c r="E123" t="s">
        <v>36</v>
      </c>
      <c r="F123" t="s">
        <v>37</v>
      </c>
      <c r="G123">
        <v>2</v>
      </c>
      <c r="H123">
        <v>49440</v>
      </c>
      <c r="I123">
        <v>5</v>
      </c>
      <c r="J123">
        <v>93936</v>
      </c>
      <c r="K123" t="s">
        <v>41</v>
      </c>
      <c r="L123" t="s">
        <v>23</v>
      </c>
      <c r="P123" t="str">
        <f t="shared" si="4"/>
        <v>Aug</v>
      </c>
      <c r="R123" t="str">
        <f t="shared" si="5"/>
        <v>High Sales</v>
      </c>
      <c r="S123" t="str">
        <f t="shared" si="6"/>
        <v>Low Discount</v>
      </c>
      <c r="T123" t="str">
        <f t="shared" si="7"/>
        <v>Successful</v>
      </c>
    </row>
    <row r="124" spans="1:20" hidden="1" x14ac:dyDescent="0.25">
      <c r="A124" t="s">
        <v>164</v>
      </c>
      <c r="B124" s="3">
        <v>45686</v>
      </c>
      <c r="C124">
        <v>1038</v>
      </c>
      <c r="D124" t="s">
        <v>28</v>
      </c>
      <c r="E124" t="s">
        <v>36</v>
      </c>
      <c r="F124" t="s">
        <v>37</v>
      </c>
      <c r="G124">
        <v>1</v>
      </c>
      <c r="H124">
        <v>3514</v>
      </c>
      <c r="I124">
        <v>15</v>
      </c>
      <c r="J124">
        <v>2986.9</v>
      </c>
      <c r="K124" t="s">
        <v>31</v>
      </c>
      <c r="L124" t="s">
        <v>26</v>
      </c>
      <c r="P124" t="str">
        <f t="shared" si="4"/>
        <v>Jan</v>
      </c>
      <c r="R124" t="str">
        <f t="shared" si="5"/>
        <v>Medium Sales</v>
      </c>
      <c r="S124" t="str">
        <f t="shared" si="6"/>
        <v>Low Discount</v>
      </c>
      <c r="T124" t="str">
        <f t="shared" si="7"/>
        <v>Pending</v>
      </c>
    </row>
    <row r="125" spans="1:20" x14ac:dyDescent="0.25">
      <c r="A125" t="s">
        <v>165</v>
      </c>
      <c r="B125" s="3">
        <v>45947</v>
      </c>
      <c r="C125">
        <v>1088</v>
      </c>
      <c r="D125" t="s">
        <v>13</v>
      </c>
      <c r="E125" t="s">
        <v>45</v>
      </c>
      <c r="F125" t="s">
        <v>37</v>
      </c>
      <c r="G125">
        <v>2</v>
      </c>
      <c r="H125">
        <v>35310</v>
      </c>
      <c r="I125">
        <v>20</v>
      </c>
      <c r="J125">
        <v>56496</v>
      </c>
      <c r="K125" t="s">
        <v>22</v>
      </c>
      <c r="L125" t="s">
        <v>23</v>
      </c>
      <c r="P125" t="str">
        <f t="shared" si="4"/>
        <v>Oct</v>
      </c>
      <c r="R125" t="str">
        <f t="shared" si="5"/>
        <v>High Sales</v>
      </c>
      <c r="S125" t="str">
        <f t="shared" si="6"/>
        <v>High Discount</v>
      </c>
      <c r="T125" t="str">
        <f t="shared" si="7"/>
        <v>Successful</v>
      </c>
    </row>
    <row r="126" spans="1:20" x14ac:dyDescent="0.25">
      <c r="A126" t="s">
        <v>166</v>
      </c>
      <c r="B126" s="3">
        <v>46007</v>
      </c>
      <c r="C126">
        <v>1031</v>
      </c>
      <c r="D126" t="s">
        <v>49</v>
      </c>
      <c r="E126" t="s">
        <v>14</v>
      </c>
      <c r="F126" t="s">
        <v>15</v>
      </c>
      <c r="G126">
        <v>5</v>
      </c>
      <c r="H126">
        <v>25570</v>
      </c>
      <c r="I126">
        <v>25</v>
      </c>
      <c r="J126">
        <v>95887.5</v>
      </c>
      <c r="K126" t="s">
        <v>22</v>
      </c>
      <c r="L126" t="s">
        <v>23</v>
      </c>
      <c r="P126" t="str">
        <f t="shared" si="4"/>
        <v>Dec</v>
      </c>
      <c r="R126" t="str">
        <f t="shared" si="5"/>
        <v>High Sales</v>
      </c>
      <c r="S126" t="str">
        <f t="shared" si="6"/>
        <v>High Discount</v>
      </c>
      <c r="T126" t="str">
        <f t="shared" si="7"/>
        <v>Successful</v>
      </c>
    </row>
    <row r="127" spans="1:20" hidden="1" x14ac:dyDescent="0.25">
      <c r="A127" t="s">
        <v>167</v>
      </c>
      <c r="B127" s="3">
        <v>45999</v>
      </c>
      <c r="C127">
        <v>1002</v>
      </c>
      <c r="D127" t="s">
        <v>49</v>
      </c>
      <c r="E127" t="s">
        <v>51</v>
      </c>
      <c r="F127" t="s">
        <v>21</v>
      </c>
      <c r="G127">
        <v>3</v>
      </c>
      <c r="H127">
        <v>30618</v>
      </c>
      <c r="I127">
        <v>15</v>
      </c>
      <c r="J127">
        <v>78075.899999999994</v>
      </c>
      <c r="K127" t="s">
        <v>31</v>
      </c>
      <c r="L127" t="s">
        <v>17</v>
      </c>
      <c r="P127" t="str">
        <f t="shared" si="4"/>
        <v>Dec</v>
      </c>
      <c r="R127" t="str">
        <f t="shared" si="5"/>
        <v>High Sales</v>
      </c>
      <c r="S127" t="str">
        <f t="shared" si="6"/>
        <v>Low Discount</v>
      </c>
      <c r="T127" t="str">
        <f t="shared" si="7"/>
        <v>Pending</v>
      </c>
    </row>
    <row r="128" spans="1:20" hidden="1" x14ac:dyDescent="0.25">
      <c r="A128" t="s">
        <v>168</v>
      </c>
      <c r="B128" s="3">
        <v>45834</v>
      </c>
      <c r="C128">
        <v>1076</v>
      </c>
      <c r="D128" t="s">
        <v>40</v>
      </c>
      <c r="E128" t="s">
        <v>20</v>
      </c>
      <c r="F128" t="s">
        <v>21</v>
      </c>
      <c r="G128">
        <v>2</v>
      </c>
      <c r="H128">
        <v>5340</v>
      </c>
      <c r="I128">
        <v>20</v>
      </c>
      <c r="J128">
        <v>8544</v>
      </c>
      <c r="K128" t="s">
        <v>41</v>
      </c>
      <c r="L128" t="s">
        <v>17</v>
      </c>
      <c r="P128" t="str">
        <f t="shared" si="4"/>
        <v>Jun</v>
      </c>
      <c r="R128" t="str">
        <f t="shared" si="5"/>
        <v>High Sales</v>
      </c>
      <c r="S128" t="str">
        <f t="shared" si="6"/>
        <v>High Discount</v>
      </c>
      <c r="T128" t="str">
        <f t="shared" si="7"/>
        <v>Pending</v>
      </c>
    </row>
    <row r="129" spans="1:20" x14ac:dyDescent="0.25">
      <c r="A129" t="s">
        <v>169</v>
      </c>
      <c r="B129" s="3">
        <v>45854</v>
      </c>
      <c r="C129">
        <v>1062</v>
      </c>
      <c r="D129" t="s">
        <v>19</v>
      </c>
      <c r="E129" t="s">
        <v>36</v>
      </c>
      <c r="F129" t="s">
        <v>37</v>
      </c>
      <c r="G129">
        <v>4</v>
      </c>
      <c r="H129">
        <v>20299</v>
      </c>
      <c r="I129">
        <v>10</v>
      </c>
      <c r="J129">
        <v>73076.399999999994</v>
      </c>
      <c r="K129" t="s">
        <v>22</v>
      </c>
      <c r="L129" t="s">
        <v>26</v>
      </c>
      <c r="P129" t="str">
        <f t="shared" si="4"/>
        <v>Jul</v>
      </c>
      <c r="R129" t="str">
        <f t="shared" si="5"/>
        <v>High Sales</v>
      </c>
      <c r="S129" t="str">
        <f t="shared" si="6"/>
        <v>Low Discount</v>
      </c>
      <c r="T129" t="str">
        <f t="shared" si="7"/>
        <v>Pending</v>
      </c>
    </row>
    <row r="130" spans="1:20" hidden="1" x14ac:dyDescent="0.25">
      <c r="A130" t="s">
        <v>170</v>
      </c>
      <c r="B130" s="3">
        <v>46016</v>
      </c>
      <c r="C130">
        <v>1038</v>
      </c>
      <c r="D130" t="s">
        <v>47</v>
      </c>
      <c r="E130" t="s">
        <v>29</v>
      </c>
      <c r="F130" t="s">
        <v>30</v>
      </c>
      <c r="G130">
        <v>3</v>
      </c>
      <c r="H130">
        <v>38170</v>
      </c>
      <c r="I130">
        <v>15</v>
      </c>
      <c r="J130">
        <v>97333.5</v>
      </c>
      <c r="K130" t="s">
        <v>41</v>
      </c>
      <c r="L130" t="s">
        <v>26</v>
      </c>
      <c r="P130" t="str">
        <f t="shared" si="4"/>
        <v>Dec</v>
      </c>
      <c r="R130" t="str">
        <f t="shared" si="5"/>
        <v>High Sales</v>
      </c>
      <c r="S130" t="str">
        <f t="shared" si="6"/>
        <v>Low Discount</v>
      </c>
      <c r="T130" t="str">
        <f t="shared" si="7"/>
        <v>Pending</v>
      </c>
    </row>
    <row r="131" spans="1:20" hidden="1" x14ac:dyDescent="0.25">
      <c r="A131" t="s">
        <v>171</v>
      </c>
      <c r="B131" s="3">
        <v>45968</v>
      </c>
      <c r="C131">
        <v>1096</v>
      </c>
      <c r="D131" t="s">
        <v>49</v>
      </c>
      <c r="E131" t="s">
        <v>65</v>
      </c>
      <c r="F131" t="s">
        <v>15</v>
      </c>
      <c r="G131">
        <v>5</v>
      </c>
      <c r="H131">
        <v>45444</v>
      </c>
      <c r="I131">
        <v>5</v>
      </c>
      <c r="J131">
        <v>215859</v>
      </c>
      <c r="K131" t="s">
        <v>31</v>
      </c>
      <c r="L131" t="s">
        <v>23</v>
      </c>
      <c r="P131" t="str">
        <f t="shared" ref="P131:P194" si="8">TEXT(B131,"MMM")</f>
        <v>Nov</v>
      </c>
      <c r="R131" t="str">
        <f t="shared" ref="R131:R194" si="9">IF(J131&gt;5000,"High Sales",IF(J131&gt;2000,"Medium Sales","Low Sales"))</f>
        <v>High Sales</v>
      </c>
      <c r="S131" t="str">
        <f t="shared" ref="S131:S194" si="10">IF(I131&gt;=20,"High Discount","Low Discount")</f>
        <v>Low Discount</v>
      </c>
      <c r="T131" t="str">
        <f t="shared" ref="T131:T194" si="11">IF(L131="Delivered","Successful","Pending")</f>
        <v>Successful</v>
      </c>
    </row>
    <row r="132" spans="1:20" hidden="1" x14ac:dyDescent="0.25">
      <c r="A132" t="s">
        <v>172</v>
      </c>
      <c r="B132" s="3">
        <v>45975</v>
      </c>
      <c r="C132">
        <v>1033</v>
      </c>
      <c r="D132" t="s">
        <v>13</v>
      </c>
      <c r="E132" t="s">
        <v>29</v>
      </c>
      <c r="F132" t="s">
        <v>30</v>
      </c>
      <c r="G132">
        <v>3</v>
      </c>
      <c r="H132">
        <v>14852</v>
      </c>
      <c r="I132">
        <v>10</v>
      </c>
      <c r="J132">
        <v>40100.400000000001</v>
      </c>
      <c r="K132" t="s">
        <v>16</v>
      </c>
      <c r="L132" t="s">
        <v>17</v>
      </c>
      <c r="P132" t="str">
        <f t="shared" si="8"/>
        <v>Nov</v>
      </c>
      <c r="R132" t="str">
        <f t="shared" si="9"/>
        <v>High Sales</v>
      </c>
      <c r="S132" t="str">
        <f t="shared" si="10"/>
        <v>Low Discount</v>
      </c>
      <c r="T132" t="str">
        <f t="shared" si="11"/>
        <v>Pending</v>
      </c>
    </row>
    <row r="133" spans="1:20" hidden="1" x14ac:dyDescent="0.25">
      <c r="A133" t="s">
        <v>173</v>
      </c>
      <c r="B133" s="3">
        <v>45954</v>
      </c>
      <c r="C133">
        <v>1047</v>
      </c>
      <c r="D133" t="s">
        <v>13</v>
      </c>
      <c r="E133" t="s">
        <v>65</v>
      </c>
      <c r="F133" t="s">
        <v>15</v>
      </c>
      <c r="G133">
        <v>3</v>
      </c>
      <c r="H133">
        <v>29389</v>
      </c>
      <c r="I133">
        <v>5</v>
      </c>
      <c r="J133">
        <v>83758.649999999994</v>
      </c>
      <c r="K133" t="s">
        <v>16</v>
      </c>
      <c r="L133" t="s">
        <v>26</v>
      </c>
      <c r="P133" t="str">
        <f t="shared" si="8"/>
        <v>Oct</v>
      </c>
      <c r="R133" t="str">
        <f t="shared" si="9"/>
        <v>High Sales</v>
      </c>
      <c r="S133" t="str">
        <f t="shared" si="10"/>
        <v>Low Discount</v>
      </c>
      <c r="T133" t="str">
        <f t="shared" si="11"/>
        <v>Pending</v>
      </c>
    </row>
    <row r="134" spans="1:20" hidden="1" x14ac:dyDescent="0.25">
      <c r="A134" t="s">
        <v>174</v>
      </c>
      <c r="B134" s="3">
        <v>45725</v>
      </c>
      <c r="C134">
        <v>1070</v>
      </c>
      <c r="D134" t="s">
        <v>28</v>
      </c>
      <c r="E134" t="s">
        <v>43</v>
      </c>
      <c r="F134" t="s">
        <v>15</v>
      </c>
      <c r="G134">
        <v>4</v>
      </c>
      <c r="H134">
        <v>12010</v>
      </c>
      <c r="I134">
        <v>10</v>
      </c>
      <c r="J134">
        <v>43236</v>
      </c>
      <c r="K134" t="s">
        <v>31</v>
      </c>
      <c r="L134" t="s">
        <v>23</v>
      </c>
      <c r="P134" t="str">
        <f t="shared" si="8"/>
        <v>Mar</v>
      </c>
      <c r="R134" t="str">
        <f t="shared" si="9"/>
        <v>High Sales</v>
      </c>
      <c r="S134" t="str">
        <f t="shared" si="10"/>
        <v>Low Discount</v>
      </c>
      <c r="T134" t="str">
        <f t="shared" si="11"/>
        <v>Successful</v>
      </c>
    </row>
    <row r="135" spans="1:20" x14ac:dyDescent="0.25">
      <c r="A135" t="s">
        <v>175</v>
      </c>
      <c r="B135" s="3">
        <v>45716</v>
      </c>
      <c r="C135">
        <v>1060</v>
      </c>
      <c r="D135" t="s">
        <v>19</v>
      </c>
      <c r="E135" t="s">
        <v>36</v>
      </c>
      <c r="F135" t="s">
        <v>37</v>
      </c>
      <c r="G135">
        <v>4</v>
      </c>
      <c r="H135">
        <v>19842</v>
      </c>
      <c r="I135">
        <v>15</v>
      </c>
      <c r="J135">
        <v>67462.8</v>
      </c>
      <c r="K135" t="s">
        <v>22</v>
      </c>
      <c r="L135" t="s">
        <v>23</v>
      </c>
      <c r="P135" t="str">
        <f t="shared" si="8"/>
        <v>Feb</v>
      </c>
      <c r="R135" t="str">
        <f t="shared" si="9"/>
        <v>High Sales</v>
      </c>
      <c r="S135" t="str">
        <f t="shared" si="10"/>
        <v>Low Discount</v>
      </c>
      <c r="T135" t="str">
        <f t="shared" si="11"/>
        <v>Successful</v>
      </c>
    </row>
    <row r="136" spans="1:20" hidden="1" x14ac:dyDescent="0.25">
      <c r="A136" t="s">
        <v>176</v>
      </c>
      <c r="B136" s="3">
        <v>45860</v>
      </c>
      <c r="C136">
        <v>1002</v>
      </c>
      <c r="D136" t="s">
        <v>40</v>
      </c>
      <c r="E136" t="s">
        <v>53</v>
      </c>
      <c r="F136" t="s">
        <v>15</v>
      </c>
      <c r="G136">
        <v>5</v>
      </c>
      <c r="H136">
        <v>24471</v>
      </c>
      <c r="I136">
        <v>5</v>
      </c>
      <c r="J136">
        <v>116237.25</v>
      </c>
      <c r="K136" t="s">
        <v>16</v>
      </c>
      <c r="L136" t="s">
        <v>26</v>
      </c>
      <c r="P136" t="str">
        <f t="shared" si="8"/>
        <v>Jul</v>
      </c>
      <c r="R136" t="str">
        <f t="shared" si="9"/>
        <v>High Sales</v>
      </c>
      <c r="S136" t="str">
        <f t="shared" si="10"/>
        <v>Low Discount</v>
      </c>
      <c r="T136" t="str">
        <f t="shared" si="11"/>
        <v>Pending</v>
      </c>
    </row>
    <row r="137" spans="1:20" x14ac:dyDescent="0.25">
      <c r="A137" t="s">
        <v>177</v>
      </c>
      <c r="B137" s="3">
        <v>45984</v>
      </c>
      <c r="C137">
        <v>1048</v>
      </c>
      <c r="D137" t="s">
        <v>19</v>
      </c>
      <c r="E137" t="s">
        <v>43</v>
      </c>
      <c r="F137" t="s">
        <v>15</v>
      </c>
      <c r="G137">
        <v>3</v>
      </c>
      <c r="H137">
        <v>38809</v>
      </c>
      <c r="I137">
        <v>20</v>
      </c>
      <c r="J137">
        <v>93141.6</v>
      </c>
      <c r="K137" t="s">
        <v>22</v>
      </c>
      <c r="L137" t="s">
        <v>26</v>
      </c>
      <c r="P137" t="str">
        <f t="shared" si="8"/>
        <v>Nov</v>
      </c>
      <c r="R137" t="str">
        <f t="shared" si="9"/>
        <v>High Sales</v>
      </c>
      <c r="S137" t="str">
        <f t="shared" si="10"/>
        <v>High Discount</v>
      </c>
      <c r="T137" t="str">
        <f t="shared" si="11"/>
        <v>Pending</v>
      </c>
    </row>
    <row r="138" spans="1:20" hidden="1" x14ac:dyDescent="0.25">
      <c r="A138" t="s">
        <v>178</v>
      </c>
      <c r="B138" s="3">
        <v>45970</v>
      </c>
      <c r="C138">
        <v>1029</v>
      </c>
      <c r="D138" t="s">
        <v>19</v>
      </c>
      <c r="E138" t="s">
        <v>65</v>
      </c>
      <c r="F138" t="s">
        <v>15</v>
      </c>
      <c r="G138">
        <v>5</v>
      </c>
      <c r="H138">
        <v>37292</v>
      </c>
      <c r="I138">
        <v>15</v>
      </c>
      <c r="J138">
        <v>158491</v>
      </c>
      <c r="K138" t="s">
        <v>41</v>
      </c>
      <c r="L138" t="s">
        <v>17</v>
      </c>
      <c r="P138" t="str">
        <f t="shared" si="8"/>
        <v>Nov</v>
      </c>
      <c r="R138" t="str">
        <f t="shared" si="9"/>
        <v>High Sales</v>
      </c>
      <c r="S138" t="str">
        <f t="shared" si="10"/>
        <v>Low Discount</v>
      </c>
      <c r="T138" t="str">
        <f t="shared" si="11"/>
        <v>Pending</v>
      </c>
    </row>
    <row r="139" spans="1:20" hidden="1" x14ac:dyDescent="0.25">
      <c r="A139" t="s">
        <v>179</v>
      </c>
      <c r="B139" s="3">
        <v>45681</v>
      </c>
      <c r="C139">
        <v>1005</v>
      </c>
      <c r="D139" t="s">
        <v>40</v>
      </c>
      <c r="E139" t="s">
        <v>36</v>
      </c>
      <c r="F139" t="s">
        <v>37</v>
      </c>
      <c r="G139">
        <v>4</v>
      </c>
      <c r="H139">
        <v>8146</v>
      </c>
      <c r="I139">
        <v>10</v>
      </c>
      <c r="J139">
        <v>29325.599999999999</v>
      </c>
      <c r="K139" t="s">
        <v>41</v>
      </c>
      <c r="L139" t="s">
        <v>23</v>
      </c>
      <c r="P139" t="str">
        <f t="shared" si="8"/>
        <v>Jan</v>
      </c>
      <c r="R139" t="str">
        <f t="shared" si="9"/>
        <v>High Sales</v>
      </c>
      <c r="S139" t="str">
        <f t="shared" si="10"/>
        <v>Low Discount</v>
      </c>
      <c r="T139" t="str">
        <f t="shared" si="11"/>
        <v>Successful</v>
      </c>
    </row>
    <row r="140" spans="1:20" hidden="1" x14ac:dyDescent="0.25">
      <c r="A140" t="s">
        <v>180</v>
      </c>
      <c r="B140" s="3">
        <v>45856</v>
      </c>
      <c r="C140">
        <v>1059</v>
      </c>
      <c r="D140" t="s">
        <v>28</v>
      </c>
      <c r="E140" t="s">
        <v>14</v>
      </c>
      <c r="F140" t="s">
        <v>15</v>
      </c>
      <c r="G140">
        <v>2</v>
      </c>
      <c r="H140">
        <v>35728</v>
      </c>
      <c r="I140">
        <v>10</v>
      </c>
      <c r="J140">
        <v>64310.400000000001</v>
      </c>
      <c r="K140" t="s">
        <v>41</v>
      </c>
      <c r="L140" t="s">
        <v>17</v>
      </c>
      <c r="P140" t="str">
        <f t="shared" si="8"/>
        <v>Jul</v>
      </c>
      <c r="R140" t="str">
        <f t="shared" si="9"/>
        <v>High Sales</v>
      </c>
      <c r="S140" t="str">
        <f t="shared" si="10"/>
        <v>Low Discount</v>
      </c>
      <c r="T140" t="str">
        <f t="shared" si="11"/>
        <v>Pending</v>
      </c>
    </row>
    <row r="141" spans="1:20" hidden="1" x14ac:dyDescent="0.25">
      <c r="A141" t="s">
        <v>181</v>
      </c>
      <c r="B141" s="3">
        <v>45908</v>
      </c>
      <c r="C141">
        <v>1079</v>
      </c>
      <c r="D141" t="s">
        <v>25</v>
      </c>
      <c r="E141" t="s">
        <v>45</v>
      </c>
      <c r="F141" t="s">
        <v>37</v>
      </c>
      <c r="G141">
        <v>4</v>
      </c>
      <c r="H141">
        <v>43420</v>
      </c>
      <c r="I141">
        <v>5</v>
      </c>
      <c r="J141">
        <v>164996</v>
      </c>
      <c r="K141" t="s">
        <v>31</v>
      </c>
      <c r="L141" t="s">
        <v>23</v>
      </c>
      <c r="P141" t="str">
        <f t="shared" si="8"/>
        <v>Sep</v>
      </c>
      <c r="R141" t="str">
        <f t="shared" si="9"/>
        <v>High Sales</v>
      </c>
      <c r="S141" t="str">
        <f t="shared" si="10"/>
        <v>Low Discount</v>
      </c>
      <c r="T141" t="str">
        <f t="shared" si="11"/>
        <v>Successful</v>
      </c>
    </row>
    <row r="142" spans="1:20" hidden="1" x14ac:dyDescent="0.25">
      <c r="A142" t="s">
        <v>182</v>
      </c>
      <c r="B142" s="3">
        <v>45778</v>
      </c>
      <c r="C142">
        <v>1047</v>
      </c>
      <c r="D142" t="s">
        <v>19</v>
      </c>
      <c r="E142" t="s">
        <v>43</v>
      </c>
      <c r="F142" t="s">
        <v>15</v>
      </c>
      <c r="G142">
        <v>2</v>
      </c>
      <c r="H142">
        <v>29557</v>
      </c>
      <c r="I142">
        <v>20</v>
      </c>
      <c r="J142">
        <v>47291.199999999997</v>
      </c>
      <c r="K142" t="s">
        <v>31</v>
      </c>
      <c r="L142" t="s">
        <v>17</v>
      </c>
      <c r="P142" t="str">
        <f t="shared" si="8"/>
        <v>May</v>
      </c>
      <c r="R142" t="str">
        <f t="shared" si="9"/>
        <v>High Sales</v>
      </c>
      <c r="S142" t="str">
        <f t="shared" si="10"/>
        <v>High Discount</v>
      </c>
      <c r="T142" t="str">
        <f t="shared" si="11"/>
        <v>Pending</v>
      </c>
    </row>
    <row r="143" spans="1:20" hidden="1" x14ac:dyDescent="0.25">
      <c r="A143" t="s">
        <v>183</v>
      </c>
      <c r="B143" s="3">
        <v>45755</v>
      </c>
      <c r="C143">
        <v>1016</v>
      </c>
      <c r="D143" t="s">
        <v>49</v>
      </c>
      <c r="E143" t="s">
        <v>43</v>
      </c>
      <c r="F143" t="s">
        <v>15</v>
      </c>
      <c r="G143">
        <v>1</v>
      </c>
      <c r="H143">
        <v>26592</v>
      </c>
      <c r="I143">
        <v>15</v>
      </c>
      <c r="J143">
        <v>22603.200000000001</v>
      </c>
      <c r="K143" t="s">
        <v>16</v>
      </c>
      <c r="L143" t="s">
        <v>17</v>
      </c>
      <c r="P143" t="str">
        <f t="shared" si="8"/>
        <v>Apr</v>
      </c>
      <c r="R143" t="str">
        <f t="shared" si="9"/>
        <v>High Sales</v>
      </c>
      <c r="S143" t="str">
        <f t="shared" si="10"/>
        <v>Low Discount</v>
      </c>
      <c r="T143" t="str">
        <f t="shared" si="11"/>
        <v>Pending</v>
      </c>
    </row>
    <row r="144" spans="1:20" x14ac:dyDescent="0.25">
      <c r="A144" t="s">
        <v>184</v>
      </c>
      <c r="B144" s="3">
        <v>45828</v>
      </c>
      <c r="C144">
        <v>1032</v>
      </c>
      <c r="D144" t="s">
        <v>13</v>
      </c>
      <c r="E144" t="s">
        <v>33</v>
      </c>
      <c r="F144" t="s">
        <v>34</v>
      </c>
      <c r="G144">
        <v>5</v>
      </c>
      <c r="H144">
        <v>1899</v>
      </c>
      <c r="I144">
        <v>5</v>
      </c>
      <c r="J144">
        <v>9020.25</v>
      </c>
      <c r="K144" t="s">
        <v>22</v>
      </c>
      <c r="L144" t="s">
        <v>23</v>
      </c>
      <c r="P144" t="str">
        <f t="shared" si="8"/>
        <v>Jun</v>
      </c>
      <c r="R144" t="str">
        <f t="shared" si="9"/>
        <v>High Sales</v>
      </c>
      <c r="S144" t="str">
        <f t="shared" si="10"/>
        <v>Low Discount</v>
      </c>
      <c r="T144" t="str">
        <f t="shared" si="11"/>
        <v>Successful</v>
      </c>
    </row>
    <row r="145" spans="1:20" hidden="1" x14ac:dyDescent="0.25">
      <c r="A145" t="s">
        <v>185</v>
      </c>
      <c r="B145" s="3">
        <v>45777</v>
      </c>
      <c r="C145">
        <v>1043</v>
      </c>
      <c r="D145" t="s">
        <v>13</v>
      </c>
      <c r="E145" t="s">
        <v>20</v>
      </c>
      <c r="F145" t="s">
        <v>21</v>
      </c>
      <c r="G145">
        <v>2</v>
      </c>
      <c r="H145">
        <v>38929</v>
      </c>
      <c r="I145">
        <v>10</v>
      </c>
      <c r="J145">
        <v>70072.2</v>
      </c>
      <c r="K145" t="s">
        <v>16</v>
      </c>
      <c r="L145" t="s">
        <v>26</v>
      </c>
      <c r="P145" t="str">
        <f t="shared" si="8"/>
        <v>Apr</v>
      </c>
      <c r="R145" t="str">
        <f t="shared" si="9"/>
        <v>High Sales</v>
      </c>
      <c r="S145" t="str">
        <f t="shared" si="10"/>
        <v>Low Discount</v>
      </c>
      <c r="T145" t="str">
        <f t="shared" si="11"/>
        <v>Pending</v>
      </c>
    </row>
    <row r="146" spans="1:20" x14ac:dyDescent="0.25">
      <c r="A146" t="s">
        <v>186</v>
      </c>
      <c r="B146" s="3">
        <v>45747</v>
      </c>
      <c r="C146">
        <v>1015</v>
      </c>
      <c r="D146" t="s">
        <v>47</v>
      </c>
      <c r="E146" t="s">
        <v>45</v>
      </c>
      <c r="F146" t="s">
        <v>37</v>
      </c>
      <c r="G146">
        <v>2</v>
      </c>
      <c r="H146">
        <v>35903</v>
      </c>
      <c r="I146">
        <v>15</v>
      </c>
      <c r="J146">
        <v>61035.1</v>
      </c>
      <c r="K146" t="s">
        <v>22</v>
      </c>
      <c r="L146" t="s">
        <v>23</v>
      </c>
      <c r="P146" t="str">
        <f t="shared" si="8"/>
        <v>Mar</v>
      </c>
      <c r="R146" t="str">
        <f t="shared" si="9"/>
        <v>High Sales</v>
      </c>
      <c r="S146" t="str">
        <f t="shared" si="10"/>
        <v>Low Discount</v>
      </c>
      <c r="T146" t="str">
        <f t="shared" si="11"/>
        <v>Successful</v>
      </c>
    </row>
    <row r="147" spans="1:20" hidden="1" x14ac:dyDescent="0.25">
      <c r="A147" t="s">
        <v>187</v>
      </c>
      <c r="B147" s="3">
        <v>45666</v>
      </c>
      <c r="C147">
        <v>1023</v>
      </c>
      <c r="D147" t="s">
        <v>40</v>
      </c>
      <c r="E147" t="s">
        <v>43</v>
      </c>
      <c r="F147" t="s">
        <v>15</v>
      </c>
      <c r="G147">
        <v>2</v>
      </c>
      <c r="H147">
        <v>39091</v>
      </c>
      <c r="I147">
        <v>15</v>
      </c>
      <c r="J147">
        <v>66454.7</v>
      </c>
      <c r="K147" t="s">
        <v>16</v>
      </c>
      <c r="L147" t="s">
        <v>23</v>
      </c>
      <c r="P147" t="str">
        <f t="shared" si="8"/>
        <v>Jan</v>
      </c>
      <c r="R147" t="str">
        <f t="shared" si="9"/>
        <v>High Sales</v>
      </c>
      <c r="S147" t="str">
        <f t="shared" si="10"/>
        <v>Low Discount</v>
      </c>
      <c r="T147" t="str">
        <f t="shared" si="11"/>
        <v>Successful</v>
      </c>
    </row>
    <row r="148" spans="1:20" hidden="1" x14ac:dyDescent="0.25">
      <c r="A148" t="s">
        <v>188</v>
      </c>
      <c r="B148" s="3">
        <v>45901</v>
      </c>
      <c r="C148">
        <v>1058</v>
      </c>
      <c r="D148" t="s">
        <v>28</v>
      </c>
      <c r="E148" t="s">
        <v>53</v>
      </c>
      <c r="F148" t="s">
        <v>15</v>
      </c>
      <c r="G148">
        <v>5</v>
      </c>
      <c r="H148">
        <v>7948</v>
      </c>
      <c r="I148">
        <v>5</v>
      </c>
      <c r="J148">
        <v>37753</v>
      </c>
      <c r="K148" t="s">
        <v>16</v>
      </c>
      <c r="L148" t="s">
        <v>26</v>
      </c>
      <c r="P148" t="str">
        <f t="shared" si="8"/>
        <v>Sep</v>
      </c>
      <c r="R148" t="str">
        <f t="shared" si="9"/>
        <v>High Sales</v>
      </c>
      <c r="S148" t="str">
        <f t="shared" si="10"/>
        <v>Low Discount</v>
      </c>
      <c r="T148" t="str">
        <f t="shared" si="11"/>
        <v>Pending</v>
      </c>
    </row>
    <row r="149" spans="1:20" hidden="1" x14ac:dyDescent="0.25">
      <c r="A149" t="s">
        <v>189</v>
      </c>
      <c r="B149" s="3">
        <v>45995</v>
      </c>
      <c r="C149">
        <v>1067</v>
      </c>
      <c r="D149" t="s">
        <v>40</v>
      </c>
      <c r="E149" t="s">
        <v>20</v>
      </c>
      <c r="F149" t="s">
        <v>21</v>
      </c>
      <c r="G149">
        <v>2</v>
      </c>
      <c r="H149">
        <v>40811</v>
      </c>
      <c r="I149">
        <v>5</v>
      </c>
      <c r="J149">
        <v>77540.899999999994</v>
      </c>
      <c r="K149" t="s">
        <v>41</v>
      </c>
      <c r="L149" t="s">
        <v>17</v>
      </c>
      <c r="P149" t="str">
        <f t="shared" si="8"/>
        <v>Dec</v>
      </c>
      <c r="R149" t="str">
        <f t="shared" si="9"/>
        <v>High Sales</v>
      </c>
      <c r="S149" t="str">
        <f t="shared" si="10"/>
        <v>Low Discount</v>
      </c>
      <c r="T149" t="str">
        <f t="shared" si="11"/>
        <v>Pending</v>
      </c>
    </row>
    <row r="150" spans="1:20" hidden="1" x14ac:dyDescent="0.25">
      <c r="A150" t="s">
        <v>190</v>
      </c>
      <c r="B150" s="3">
        <v>45876</v>
      </c>
      <c r="C150">
        <v>1088</v>
      </c>
      <c r="D150" t="s">
        <v>19</v>
      </c>
      <c r="E150" t="s">
        <v>65</v>
      </c>
      <c r="F150" t="s">
        <v>15</v>
      </c>
      <c r="G150">
        <v>1</v>
      </c>
      <c r="H150">
        <v>31890</v>
      </c>
      <c r="I150">
        <v>20</v>
      </c>
      <c r="J150">
        <v>25512</v>
      </c>
      <c r="K150" t="s">
        <v>41</v>
      </c>
      <c r="L150" t="s">
        <v>17</v>
      </c>
      <c r="P150" t="str">
        <f t="shared" si="8"/>
        <v>Aug</v>
      </c>
      <c r="R150" t="str">
        <f t="shared" si="9"/>
        <v>High Sales</v>
      </c>
      <c r="S150" t="str">
        <f t="shared" si="10"/>
        <v>High Discount</v>
      </c>
      <c r="T150" t="str">
        <f t="shared" si="11"/>
        <v>Pending</v>
      </c>
    </row>
    <row r="151" spans="1:20" x14ac:dyDescent="0.25">
      <c r="A151" t="s">
        <v>191</v>
      </c>
      <c r="B151" s="3">
        <v>45969</v>
      </c>
      <c r="C151">
        <v>1019</v>
      </c>
      <c r="D151" t="s">
        <v>19</v>
      </c>
      <c r="E151" t="s">
        <v>51</v>
      </c>
      <c r="F151" t="s">
        <v>21</v>
      </c>
      <c r="G151">
        <v>1</v>
      </c>
      <c r="H151">
        <v>5794</v>
      </c>
      <c r="I151">
        <v>15</v>
      </c>
      <c r="J151">
        <v>4924.8999999999996</v>
      </c>
      <c r="K151" t="s">
        <v>22</v>
      </c>
      <c r="L151" t="s">
        <v>26</v>
      </c>
      <c r="P151" t="str">
        <f t="shared" si="8"/>
        <v>Nov</v>
      </c>
      <c r="R151" t="str">
        <f t="shared" si="9"/>
        <v>Medium Sales</v>
      </c>
      <c r="S151" t="str">
        <f t="shared" si="10"/>
        <v>Low Discount</v>
      </c>
      <c r="T151" t="str">
        <f t="shared" si="11"/>
        <v>Pending</v>
      </c>
    </row>
    <row r="152" spans="1:20" hidden="1" x14ac:dyDescent="0.25">
      <c r="A152" t="s">
        <v>192</v>
      </c>
      <c r="B152" s="3">
        <v>45853</v>
      </c>
      <c r="C152">
        <v>1077</v>
      </c>
      <c r="D152" t="s">
        <v>40</v>
      </c>
      <c r="E152" t="s">
        <v>29</v>
      </c>
      <c r="F152" t="s">
        <v>30</v>
      </c>
      <c r="G152">
        <v>5</v>
      </c>
      <c r="H152">
        <v>36437</v>
      </c>
      <c r="I152">
        <v>15</v>
      </c>
      <c r="J152">
        <v>154857.25</v>
      </c>
      <c r="K152" t="s">
        <v>41</v>
      </c>
      <c r="L152" t="s">
        <v>17</v>
      </c>
      <c r="P152" t="str">
        <f t="shared" si="8"/>
        <v>Jul</v>
      </c>
      <c r="R152" t="str">
        <f t="shared" si="9"/>
        <v>High Sales</v>
      </c>
      <c r="S152" t="str">
        <f t="shared" si="10"/>
        <v>Low Discount</v>
      </c>
      <c r="T152" t="str">
        <f t="shared" si="11"/>
        <v>Pending</v>
      </c>
    </row>
    <row r="153" spans="1:20" hidden="1" x14ac:dyDescent="0.25">
      <c r="A153" t="s">
        <v>193</v>
      </c>
      <c r="B153" s="3">
        <v>45993</v>
      </c>
      <c r="C153">
        <v>1084</v>
      </c>
      <c r="D153" t="s">
        <v>58</v>
      </c>
      <c r="E153" t="s">
        <v>29</v>
      </c>
      <c r="F153" t="s">
        <v>30</v>
      </c>
      <c r="G153">
        <v>4</v>
      </c>
      <c r="H153">
        <v>6999</v>
      </c>
      <c r="I153">
        <v>5</v>
      </c>
      <c r="J153">
        <v>26596.2</v>
      </c>
      <c r="K153" t="s">
        <v>41</v>
      </c>
      <c r="L153" t="s">
        <v>26</v>
      </c>
      <c r="P153" t="str">
        <f t="shared" si="8"/>
        <v>Dec</v>
      </c>
      <c r="R153" t="str">
        <f t="shared" si="9"/>
        <v>High Sales</v>
      </c>
      <c r="S153" t="str">
        <f t="shared" si="10"/>
        <v>Low Discount</v>
      </c>
      <c r="T153" t="str">
        <f t="shared" si="11"/>
        <v>Pending</v>
      </c>
    </row>
    <row r="154" spans="1:20" hidden="1" x14ac:dyDescent="0.25">
      <c r="A154" t="s">
        <v>194</v>
      </c>
      <c r="B154" s="3">
        <v>45862</v>
      </c>
      <c r="C154">
        <v>1054</v>
      </c>
      <c r="D154" t="s">
        <v>19</v>
      </c>
      <c r="E154" t="s">
        <v>33</v>
      </c>
      <c r="F154" t="s">
        <v>34</v>
      </c>
      <c r="G154">
        <v>4</v>
      </c>
      <c r="H154">
        <v>22712</v>
      </c>
      <c r="I154">
        <v>20</v>
      </c>
      <c r="J154">
        <v>72678.399999999994</v>
      </c>
      <c r="K154" t="s">
        <v>31</v>
      </c>
      <c r="L154" t="s">
        <v>26</v>
      </c>
      <c r="P154" t="str">
        <f t="shared" si="8"/>
        <v>Jul</v>
      </c>
      <c r="R154" t="str">
        <f t="shared" si="9"/>
        <v>High Sales</v>
      </c>
      <c r="S154" t="str">
        <f t="shared" si="10"/>
        <v>High Discount</v>
      </c>
      <c r="T154" t="str">
        <f t="shared" si="11"/>
        <v>Pending</v>
      </c>
    </row>
    <row r="155" spans="1:20" hidden="1" x14ac:dyDescent="0.25">
      <c r="A155" t="s">
        <v>195</v>
      </c>
      <c r="B155" s="3">
        <v>46009</v>
      </c>
      <c r="C155">
        <v>1061</v>
      </c>
      <c r="D155" t="s">
        <v>19</v>
      </c>
      <c r="E155" t="s">
        <v>43</v>
      </c>
      <c r="F155" t="s">
        <v>15</v>
      </c>
      <c r="G155">
        <v>3</v>
      </c>
      <c r="H155">
        <v>25030</v>
      </c>
      <c r="I155">
        <v>10</v>
      </c>
      <c r="J155">
        <v>67581</v>
      </c>
      <c r="K155" t="s">
        <v>16</v>
      </c>
      <c r="L155" t="s">
        <v>23</v>
      </c>
      <c r="P155" t="str">
        <f t="shared" si="8"/>
        <v>Dec</v>
      </c>
      <c r="R155" t="str">
        <f t="shared" si="9"/>
        <v>High Sales</v>
      </c>
      <c r="S155" t="str">
        <f t="shared" si="10"/>
        <v>Low Discount</v>
      </c>
      <c r="T155" t="str">
        <f t="shared" si="11"/>
        <v>Successful</v>
      </c>
    </row>
    <row r="156" spans="1:20" hidden="1" x14ac:dyDescent="0.25">
      <c r="A156" t="s">
        <v>196</v>
      </c>
      <c r="B156" s="3">
        <v>45724</v>
      </c>
      <c r="C156">
        <v>1072</v>
      </c>
      <c r="D156" t="s">
        <v>47</v>
      </c>
      <c r="E156" t="s">
        <v>14</v>
      </c>
      <c r="F156" t="s">
        <v>15</v>
      </c>
      <c r="G156">
        <v>4</v>
      </c>
      <c r="H156">
        <v>6828</v>
      </c>
      <c r="I156">
        <v>15</v>
      </c>
      <c r="J156">
        <v>23215.200000000001</v>
      </c>
      <c r="K156" t="s">
        <v>31</v>
      </c>
      <c r="L156" t="s">
        <v>17</v>
      </c>
      <c r="P156" t="str">
        <f t="shared" si="8"/>
        <v>Mar</v>
      </c>
      <c r="R156" t="str">
        <f t="shared" si="9"/>
        <v>High Sales</v>
      </c>
      <c r="S156" t="str">
        <f t="shared" si="10"/>
        <v>Low Discount</v>
      </c>
      <c r="T156" t="str">
        <f t="shared" si="11"/>
        <v>Pending</v>
      </c>
    </row>
    <row r="157" spans="1:20" hidden="1" x14ac:dyDescent="0.25">
      <c r="A157" t="s">
        <v>197</v>
      </c>
      <c r="B157" s="3">
        <v>45684</v>
      </c>
      <c r="C157">
        <v>1037</v>
      </c>
      <c r="D157" t="s">
        <v>40</v>
      </c>
      <c r="E157" t="s">
        <v>14</v>
      </c>
      <c r="F157" t="s">
        <v>15</v>
      </c>
      <c r="G157">
        <v>4</v>
      </c>
      <c r="H157">
        <v>23673</v>
      </c>
      <c r="I157">
        <v>20</v>
      </c>
      <c r="J157">
        <v>75753.600000000006</v>
      </c>
      <c r="K157" t="s">
        <v>31</v>
      </c>
      <c r="L157" t="s">
        <v>23</v>
      </c>
      <c r="P157" t="str">
        <f t="shared" si="8"/>
        <v>Jan</v>
      </c>
      <c r="R157" t="str">
        <f t="shared" si="9"/>
        <v>High Sales</v>
      </c>
      <c r="S157" t="str">
        <f t="shared" si="10"/>
        <v>High Discount</v>
      </c>
      <c r="T157" t="str">
        <f t="shared" si="11"/>
        <v>Successful</v>
      </c>
    </row>
    <row r="158" spans="1:20" hidden="1" x14ac:dyDescent="0.25">
      <c r="A158" t="s">
        <v>198</v>
      </c>
      <c r="B158" s="3">
        <v>45994</v>
      </c>
      <c r="C158">
        <v>1062</v>
      </c>
      <c r="D158" t="s">
        <v>58</v>
      </c>
      <c r="E158" t="s">
        <v>29</v>
      </c>
      <c r="F158" t="s">
        <v>30</v>
      </c>
      <c r="G158">
        <v>5</v>
      </c>
      <c r="H158">
        <v>14442</v>
      </c>
      <c r="I158">
        <v>10</v>
      </c>
      <c r="J158">
        <v>64989</v>
      </c>
      <c r="K158" t="s">
        <v>16</v>
      </c>
      <c r="L158" t="s">
        <v>26</v>
      </c>
      <c r="P158" t="str">
        <f t="shared" si="8"/>
        <v>Dec</v>
      </c>
      <c r="R158" t="str">
        <f t="shared" si="9"/>
        <v>High Sales</v>
      </c>
      <c r="S158" t="str">
        <f t="shared" si="10"/>
        <v>Low Discount</v>
      </c>
      <c r="T158" t="str">
        <f t="shared" si="11"/>
        <v>Pending</v>
      </c>
    </row>
    <row r="159" spans="1:20" hidden="1" x14ac:dyDescent="0.25">
      <c r="A159" t="s">
        <v>199</v>
      </c>
      <c r="B159" s="3">
        <v>45951</v>
      </c>
      <c r="C159">
        <v>1029</v>
      </c>
      <c r="D159" t="s">
        <v>25</v>
      </c>
      <c r="E159" t="s">
        <v>20</v>
      </c>
      <c r="F159" t="s">
        <v>21</v>
      </c>
      <c r="G159">
        <v>3</v>
      </c>
      <c r="H159">
        <v>8029</v>
      </c>
      <c r="I159">
        <v>15</v>
      </c>
      <c r="J159">
        <v>20473.95</v>
      </c>
      <c r="K159" t="s">
        <v>16</v>
      </c>
      <c r="L159" t="s">
        <v>17</v>
      </c>
      <c r="P159" t="str">
        <f t="shared" si="8"/>
        <v>Oct</v>
      </c>
      <c r="R159" t="str">
        <f t="shared" si="9"/>
        <v>High Sales</v>
      </c>
      <c r="S159" t="str">
        <f t="shared" si="10"/>
        <v>Low Discount</v>
      </c>
      <c r="T159" t="str">
        <f t="shared" si="11"/>
        <v>Pending</v>
      </c>
    </row>
    <row r="160" spans="1:20" hidden="1" x14ac:dyDescent="0.25">
      <c r="A160" t="s">
        <v>200</v>
      </c>
      <c r="B160" s="3">
        <v>46017</v>
      </c>
      <c r="C160">
        <v>1098</v>
      </c>
      <c r="D160" t="s">
        <v>40</v>
      </c>
      <c r="E160" t="s">
        <v>36</v>
      </c>
      <c r="F160" t="s">
        <v>37</v>
      </c>
      <c r="G160">
        <v>1</v>
      </c>
      <c r="H160">
        <v>12323</v>
      </c>
      <c r="I160">
        <v>15</v>
      </c>
      <c r="J160">
        <v>10474.549999999999</v>
      </c>
      <c r="K160" t="s">
        <v>31</v>
      </c>
      <c r="L160" t="s">
        <v>26</v>
      </c>
      <c r="P160" t="str">
        <f t="shared" si="8"/>
        <v>Dec</v>
      </c>
      <c r="R160" t="str">
        <f t="shared" si="9"/>
        <v>High Sales</v>
      </c>
      <c r="S160" t="str">
        <f t="shared" si="10"/>
        <v>Low Discount</v>
      </c>
      <c r="T160" t="str">
        <f t="shared" si="11"/>
        <v>Pending</v>
      </c>
    </row>
    <row r="161" spans="1:20" x14ac:dyDescent="0.25">
      <c r="A161" t="s">
        <v>201</v>
      </c>
      <c r="B161" s="3">
        <v>45994</v>
      </c>
      <c r="C161">
        <v>1052</v>
      </c>
      <c r="D161" t="s">
        <v>19</v>
      </c>
      <c r="E161" t="s">
        <v>65</v>
      </c>
      <c r="F161" t="s">
        <v>15</v>
      </c>
      <c r="G161">
        <v>2</v>
      </c>
      <c r="H161">
        <v>9888</v>
      </c>
      <c r="I161">
        <v>25</v>
      </c>
      <c r="J161">
        <v>14832</v>
      </c>
      <c r="K161" t="s">
        <v>22</v>
      </c>
      <c r="L161" t="s">
        <v>17</v>
      </c>
      <c r="P161" t="str">
        <f t="shared" si="8"/>
        <v>Dec</v>
      </c>
      <c r="R161" t="str">
        <f t="shared" si="9"/>
        <v>High Sales</v>
      </c>
      <c r="S161" t="str">
        <f t="shared" si="10"/>
        <v>High Discount</v>
      </c>
      <c r="T161" t="str">
        <f t="shared" si="11"/>
        <v>Pending</v>
      </c>
    </row>
    <row r="162" spans="1:20" hidden="1" x14ac:dyDescent="0.25">
      <c r="A162" t="s">
        <v>202</v>
      </c>
      <c r="B162" s="3">
        <v>45768</v>
      </c>
      <c r="C162">
        <v>1049</v>
      </c>
      <c r="D162" t="s">
        <v>25</v>
      </c>
      <c r="E162" t="s">
        <v>65</v>
      </c>
      <c r="F162" t="s">
        <v>15</v>
      </c>
      <c r="G162">
        <v>1</v>
      </c>
      <c r="H162">
        <v>49397</v>
      </c>
      <c r="I162">
        <v>25</v>
      </c>
      <c r="J162">
        <v>37047.75</v>
      </c>
      <c r="K162" t="s">
        <v>41</v>
      </c>
      <c r="L162" t="s">
        <v>26</v>
      </c>
      <c r="P162" t="str">
        <f t="shared" si="8"/>
        <v>Apr</v>
      </c>
      <c r="R162" t="str">
        <f t="shared" si="9"/>
        <v>High Sales</v>
      </c>
      <c r="S162" t="str">
        <f t="shared" si="10"/>
        <v>High Discount</v>
      </c>
      <c r="T162" t="str">
        <f t="shared" si="11"/>
        <v>Pending</v>
      </c>
    </row>
    <row r="163" spans="1:20" hidden="1" x14ac:dyDescent="0.25">
      <c r="A163" t="s">
        <v>203</v>
      </c>
      <c r="B163" s="3">
        <v>45948</v>
      </c>
      <c r="C163">
        <v>1077</v>
      </c>
      <c r="D163" t="s">
        <v>19</v>
      </c>
      <c r="E163" t="s">
        <v>45</v>
      </c>
      <c r="F163" t="s">
        <v>37</v>
      </c>
      <c r="G163">
        <v>3</v>
      </c>
      <c r="H163">
        <v>20923</v>
      </c>
      <c r="I163">
        <v>15</v>
      </c>
      <c r="J163">
        <v>53353.65</v>
      </c>
      <c r="K163" t="s">
        <v>16</v>
      </c>
      <c r="L163" t="s">
        <v>23</v>
      </c>
      <c r="P163" t="str">
        <f t="shared" si="8"/>
        <v>Oct</v>
      </c>
      <c r="R163" t="str">
        <f t="shared" si="9"/>
        <v>High Sales</v>
      </c>
      <c r="S163" t="str">
        <f t="shared" si="10"/>
        <v>Low Discount</v>
      </c>
      <c r="T163" t="str">
        <f t="shared" si="11"/>
        <v>Successful</v>
      </c>
    </row>
    <row r="164" spans="1:20" hidden="1" x14ac:dyDescent="0.25">
      <c r="A164" t="s">
        <v>204</v>
      </c>
      <c r="B164" s="3">
        <v>45797</v>
      </c>
      <c r="C164">
        <v>1057</v>
      </c>
      <c r="D164" t="s">
        <v>25</v>
      </c>
      <c r="E164" t="s">
        <v>45</v>
      </c>
      <c r="F164" t="s">
        <v>37</v>
      </c>
      <c r="G164">
        <v>5</v>
      </c>
      <c r="H164">
        <v>3761</v>
      </c>
      <c r="I164">
        <v>5</v>
      </c>
      <c r="J164">
        <v>17864.75</v>
      </c>
      <c r="K164" t="s">
        <v>41</v>
      </c>
      <c r="L164" t="s">
        <v>17</v>
      </c>
      <c r="P164" t="str">
        <f t="shared" si="8"/>
        <v>May</v>
      </c>
      <c r="R164" t="str">
        <f t="shared" si="9"/>
        <v>High Sales</v>
      </c>
      <c r="S164" t="str">
        <f t="shared" si="10"/>
        <v>Low Discount</v>
      </c>
      <c r="T164" t="str">
        <f t="shared" si="11"/>
        <v>Pending</v>
      </c>
    </row>
    <row r="165" spans="1:20" hidden="1" x14ac:dyDescent="0.25">
      <c r="A165" t="s">
        <v>205</v>
      </c>
      <c r="B165" s="3">
        <v>45920</v>
      </c>
      <c r="C165">
        <v>1015</v>
      </c>
      <c r="D165" t="s">
        <v>28</v>
      </c>
      <c r="E165" t="s">
        <v>51</v>
      </c>
      <c r="F165" t="s">
        <v>21</v>
      </c>
      <c r="G165">
        <v>4</v>
      </c>
      <c r="H165">
        <v>18402</v>
      </c>
      <c r="I165">
        <v>10</v>
      </c>
      <c r="J165">
        <v>66247.199999999997</v>
      </c>
      <c r="K165" t="s">
        <v>41</v>
      </c>
      <c r="L165" t="s">
        <v>23</v>
      </c>
      <c r="P165" t="str">
        <f t="shared" si="8"/>
        <v>Sep</v>
      </c>
      <c r="R165" t="str">
        <f t="shared" si="9"/>
        <v>High Sales</v>
      </c>
      <c r="S165" t="str">
        <f t="shared" si="10"/>
        <v>Low Discount</v>
      </c>
      <c r="T165" t="str">
        <f t="shared" si="11"/>
        <v>Successful</v>
      </c>
    </row>
    <row r="166" spans="1:20" x14ac:dyDescent="0.25">
      <c r="A166" t="s">
        <v>206</v>
      </c>
      <c r="B166" s="3">
        <v>45999</v>
      </c>
      <c r="C166">
        <v>1040</v>
      </c>
      <c r="D166" t="s">
        <v>47</v>
      </c>
      <c r="E166" t="s">
        <v>36</v>
      </c>
      <c r="F166" t="s">
        <v>37</v>
      </c>
      <c r="G166">
        <v>5</v>
      </c>
      <c r="H166">
        <v>32391</v>
      </c>
      <c r="I166">
        <v>25</v>
      </c>
      <c r="J166">
        <v>121466.25</v>
      </c>
      <c r="K166" t="s">
        <v>22</v>
      </c>
      <c r="L166" t="s">
        <v>26</v>
      </c>
      <c r="P166" t="str">
        <f t="shared" si="8"/>
        <v>Dec</v>
      </c>
      <c r="R166" t="str">
        <f t="shared" si="9"/>
        <v>High Sales</v>
      </c>
      <c r="S166" t="str">
        <f t="shared" si="10"/>
        <v>High Discount</v>
      </c>
      <c r="T166" t="str">
        <f t="shared" si="11"/>
        <v>Pending</v>
      </c>
    </row>
    <row r="167" spans="1:20" hidden="1" x14ac:dyDescent="0.25">
      <c r="A167" t="s">
        <v>207</v>
      </c>
      <c r="B167" s="3">
        <v>45812</v>
      </c>
      <c r="C167">
        <v>1028</v>
      </c>
      <c r="D167" t="s">
        <v>13</v>
      </c>
      <c r="E167" t="s">
        <v>29</v>
      </c>
      <c r="F167" t="s">
        <v>30</v>
      </c>
      <c r="G167">
        <v>1</v>
      </c>
      <c r="H167">
        <v>1003</v>
      </c>
      <c r="I167">
        <v>10</v>
      </c>
      <c r="J167">
        <v>902.7</v>
      </c>
      <c r="K167" t="s">
        <v>31</v>
      </c>
      <c r="L167" t="s">
        <v>26</v>
      </c>
      <c r="P167" t="str">
        <f t="shared" si="8"/>
        <v>Jun</v>
      </c>
      <c r="R167" t="str">
        <f t="shared" si="9"/>
        <v>Low Sales</v>
      </c>
      <c r="S167" t="str">
        <f t="shared" si="10"/>
        <v>Low Discount</v>
      </c>
      <c r="T167" t="str">
        <f t="shared" si="11"/>
        <v>Pending</v>
      </c>
    </row>
    <row r="168" spans="1:20" hidden="1" x14ac:dyDescent="0.25">
      <c r="A168" t="s">
        <v>208</v>
      </c>
      <c r="B168" s="3">
        <v>45878</v>
      </c>
      <c r="C168">
        <v>1023</v>
      </c>
      <c r="D168" t="s">
        <v>13</v>
      </c>
      <c r="E168" t="s">
        <v>43</v>
      </c>
      <c r="F168" t="s">
        <v>15</v>
      </c>
      <c r="G168">
        <v>1</v>
      </c>
      <c r="H168">
        <v>1006</v>
      </c>
      <c r="I168">
        <v>20</v>
      </c>
      <c r="J168">
        <v>804.8</v>
      </c>
      <c r="K168" t="s">
        <v>41</v>
      </c>
      <c r="L168" t="s">
        <v>17</v>
      </c>
      <c r="P168" t="str">
        <f t="shared" si="8"/>
        <v>Aug</v>
      </c>
      <c r="R168" t="str">
        <f t="shared" si="9"/>
        <v>Low Sales</v>
      </c>
      <c r="S168" t="str">
        <f t="shared" si="10"/>
        <v>High Discount</v>
      </c>
      <c r="T168" t="str">
        <f t="shared" si="11"/>
        <v>Pending</v>
      </c>
    </row>
    <row r="169" spans="1:20" hidden="1" x14ac:dyDescent="0.25">
      <c r="A169" t="s">
        <v>209</v>
      </c>
      <c r="B169" s="3">
        <v>45694</v>
      </c>
      <c r="C169">
        <v>1051</v>
      </c>
      <c r="D169" t="s">
        <v>47</v>
      </c>
      <c r="E169" t="s">
        <v>33</v>
      </c>
      <c r="F169" t="s">
        <v>34</v>
      </c>
      <c r="G169">
        <v>5</v>
      </c>
      <c r="H169">
        <v>37116</v>
      </c>
      <c r="I169">
        <v>15</v>
      </c>
      <c r="J169">
        <v>157743</v>
      </c>
      <c r="K169" t="s">
        <v>41</v>
      </c>
      <c r="L169" t="s">
        <v>23</v>
      </c>
      <c r="P169" t="str">
        <f t="shared" si="8"/>
        <v>Feb</v>
      </c>
      <c r="R169" t="str">
        <f t="shared" si="9"/>
        <v>High Sales</v>
      </c>
      <c r="S169" t="str">
        <f t="shared" si="10"/>
        <v>Low Discount</v>
      </c>
      <c r="T169" t="str">
        <f t="shared" si="11"/>
        <v>Successful</v>
      </c>
    </row>
    <row r="170" spans="1:20" hidden="1" x14ac:dyDescent="0.25">
      <c r="A170" t="s">
        <v>210</v>
      </c>
      <c r="B170" s="3">
        <v>45877</v>
      </c>
      <c r="C170">
        <v>1074</v>
      </c>
      <c r="D170" t="s">
        <v>25</v>
      </c>
      <c r="E170" t="s">
        <v>51</v>
      </c>
      <c r="F170" t="s">
        <v>21</v>
      </c>
      <c r="G170">
        <v>1</v>
      </c>
      <c r="H170">
        <v>21016</v>
      </c>
      <c r="I170">
        <v>25</v>
      </c>
      <c r="J170">
        <v>15762</v>
      </c>
      <c r="K170" t="s">
        <v>41</v>
      </c>
      <c r="L170" t="s">
        <v>26</v>
      </c>
      <c r="P170" t="str">
        <f t="shared" si="8"/>
        <v>Aug</v>
      </c>
      <c r="R170" t="str">
        <f t="shared" si="9"/>
        <v>High Sales</v>
      </c>
      <c r="S170" t="str">
        <f t="shared" si="10"/>
        <v>High Discount</v>
      </c>
      <c r="T170" t="str">
        <f t="shared" si="11"/>
        <v>Pending</v>
      </c>
    </row>
    <row r="171" spans="1:20" hidden="1" x14ac:dyDescent="0.25">
      <c r="A171" t="s">
        <v>211</v>
      </c>
      <c r="B171" s="3">
        <v>45745</v>
      </c>
      <c r="C171">
        <v>1080</v>
      </c>
      <c r="D171" t="s">
        <v>49</v>
      </c>
      <c r="E171" t="s">
        <v>14</v>
      </c>
      <c r="F171" t="s">
        <v>15</v>
      </c>
      <c r="G171">
        <v>4</v>
      </c>
      <c r="H171">
        <v>1866</v>
      </c>
      <c r="I171">
        <v>15</v>
      </c>
      <c r="J171">
        <v>6344.4</v>
      </c>
      <c r="K171" t="s">
        <v>31</v>
      </c>
      <c r="L171" t="s">
        <v>23</v>
      </c>
      <c r="P171" t="str">
        <f t="shared" si="8"/>
        <v>Mar</v>
      </c>
      <c r="R171" t="str">
        <f t="shared" si="9"/>
        <v>High Sales</v>
      </c>
      <c r="S171" t="str">
        <f t="shared" si="10"/>
        <v>Low Discount</v>
      </c>
      <c r="T171" t="str">
        <f t="shared" si="11"/>
        <v>Successful</v>
      </c>
    </row>
    <row r="172" spans="1:20" hidden="1" x14ac:dyDescent="0.25">
      <c r="A172" t="s">
        <v>212</v>
      </c>
      <c r="B172" s="3">
        <v>45959</v>
      </c>
      <c r="C172">
        <v>1052</v>
      </c>
      <c r="D172" t="s">
        <v>19</v>
      </c>
      <c r="E172" t="s">
        <v>53</v>
      </c>
      <c r="F172" t="s">
        <v>15</v>
      </c>
      <c r="G172">
        <v>1</v>
      </c>
      <c r="H172">
        <v>16445</v>
      </c>
      <c r="I172">
        <v>20</v>
      </c>
      <c r="J172">
        <v>13156</v>
      </c>
      <c r="K172" t="s">
        <v>41</v>
      </c>
      <c r="L172" t="s">
        <v>26</v>
      </c>
      <c r="P172" t="str">
        <f t="shared" si="8"/>
        <v>Oct</v>
      </c>
      <c r="R172" t="str">
        <f t="shared" si="9"/>
        <v>High Sales</v>
      </c>
      <c r="S172" t="str">
        <f t="shared" si="10"/>
        <v>High Discount</v>
      </c>
      <c r="T172" t="str">
        <f t="shared" si="11"/>
        <v>Pending</v>
      </c>
    </row>
    <row r="173" spans="1:20" x14ac:dyDescent="0.25">
      <c r="A173" t="s">
        <v>213</v>
      </c>
      <c r="B173" s="3">
        <v>45697</v>
      </c>
      <c r="C173">
        <v>1066</v>
      </c>
      <c r="D173" t="s">
        <v>19</v>
      </c>
      <c r="E173" t="s">
        <v>43</v>
      </c>
      <c r="F173" t="s">
        <v>15</v>
      </c>
      <c r="G173">
        <v>2</v>
      </c>
      <c r="H173">
        <v>22327</v>
      </c>
      <c r="I173">
        <v>10</v>
      </c>
      <c r="J173">
        <v>40188.6</v>
      </c>
      <c r="K173" t="s">
        <v>22</v>
      </c>
      <c r="L173" t="s">
        <v>26</v>
      </c>
      <c r="P173" t="str">
        <f t="shared" si="8"/>
        <v>Feb</v>
      </c>
      <c r="R173" t="str">
        <f t="shared" si="9"/>
        <v>High Sales</v>
      </c>
      <c r="S173" t="str">
        <f t="shared" si="10"/>
        <v>Low Discount</v>
      </c>
      <c r="T173" t="str">
        <f t="shared" si="11"/>
        <v>Pending</v>
      </c>
    </row>
    <row r="174" spans="1:20" x14ac:dyDescent="0.25">
      <c r="A174" t="s">
        <v>214</v>
      </c>
      <c r="B174" s="3">
        <v>45732</v>
      </c>
      <c r="C174">
        <v>1033</v>
      </c>
      <c r="D174" t="s">
        <v>58</v>
      </c>
      <c r="E174" t="s">
        <v>43</v>
      </c>
      <c r="F174" t="s">
        <v>15</v>
      </c>
      <c r="G174">
        <v>2</v>
      </c>
      <c r="H174">
        <v>15984</v>
      </c>
      <c r="I174">
        <v>5</v>
      </c>
      <c r="J174">
        <v>30369.599999999999</v>
      </c>
      <c r="K174" t="s">
        <v>22</v>
      </c>
      <c r="L174" t="s">
        <v>17</v>
      </c>
      <c r="P174" t="str">
        <f t="shared" si="8"/>
        <v>Mar</v>
      </c>
      <c r="R174" t="str">
        <f t="shared" si="9"/>
        <v>High Sales</v>
      </c>
      <c r="S174" t="str">
        <f t="shared" si="10"/>
        <v>Low Discount</v>
      </c>
      <c r="T174" t="str">
        <f t="shared" si="11"/>
        <v>Pending</v>
      </c>
    </row>
    <row r="175" spans="1:20" hidden="1" x14ac:dyDescent="0.25">
      <c r="A175" t="s">
        <v>215</v>
      </c>
      <c r="B175" s="3">
        <v>45895</v>
      </c>
      <c r="C175">
        <v>1097</v>
      </c>
      <c r="D175" t="s">
        <v>49</v>
      </c>
      <c r="E175" t="s">
        <v>45</v>
      </c>
      <c r="F175" t="s">
        <v>37</v>
      </c>
      <c r="G175">
        <v>1</v>
      </c>
      <c r="H175">
        <v>12109</v>
      </c>
      <c r="I175">
        <v>20</v>
      </c>
      <c r="J175">
        <v>9687.2000000000007</v>
      </c>
      <c r="K175" t="s">
        <v>31</v>
      </c>
      <c r="L175" t="s">
        <v>17</v>
      </c>
      <c r="P175" t="str">
        <f t="shared" si="8"/>
        <v>Aug</v>
      </c>
      <c r="R175" t="str">
        <f t="shared" si="9"/>
        <v>High Sales</v>
      </c>
      <c r="S175" t="str">
        <f t="shared" si="10"/>
        <v>High Discount</v>
      </c>
      <c r="T175" t="str">
        <f t="shared" si="11"/>
        <v>Pending</v>
      </c>
    </row>
    <row r="176" spans="1:20" hidden="1" x14ac:dyDescent="0.25">
      <c r="A176" t="s">
        <v>216</v>
      </c>
      <c r="B176" s="3">
        <v>45898</v>
      </c>
      <c r="C176">
        <v>1057</v>
      </c>
      <c r="D176" t="s">
        <v>40</v>
      </c>
      <c r="E176" t="s">
        <v>43</v>
      </c>
      <c r="F176" t="s">
        <v>15</v>
      </c>
      <c r="G176">
        <v>2</v>
      </c>
      <c r="H176">
        <v>29320</v>
      </c>
      <c r="I176">
        <v>5</v>
      </c>
      <c r="J176">
        <v>55708</v>
      </c>
      <c r="K176" t="s">
        <v>31</v>
      </c>
      <c r="L176" t="s">
        <v>17</v>
      </c>
      <c r="P176" t="str">
        <f t="shared" si="8"/>
        <v>Aug</v>
      </c>
      <c r="R176" t="str">
        <f t="shared" si="9"/>
        <v>High Sales</v>
      </c>
      <c r="S176" t="str">
        <f t="shared" si="10"/>
        <v>Low Discount</v>
      </c>
      <c r="T176" t="str">
        <f t="shared" si="11"/>
        <v>Pending</v>
      </c>
    </row>
    <row r="177" spans="1:20" hidden="1" x14ac:dyDescent="0.25">
      <c r="A177" t="s">
        <v>217</v>
      </c>
      <c r="B177" s="3">
        <v>45816</v>
      </c>
      <c r="C177">
        <v>1060</v>
      </c>
      <c r="D177" t="s">
        <v>49</v>
      </c>
      <c r="E177" t="s">
        <v>65</v>
      </c>
      <c r="F177" t="s">
        <v>15</v>
      </c>
      <c r="G177">
        <v>3</v>
      </c>
      <c r="H177">
        <v>33748</v>
      </c>
      <c r="I177">
        <v>5</v>
      </c>
      <c r="J177">
        <v>96181.8</v>
      </c>
      <c r="K177" t="s">
        <v>16</v>
      </c>
      <c r="L177" t="s">
        <v>23</v>
      </c>
      <c r="P177" t="str">
        <f t="shared" si="8"/>
        <v>Jun</v>
      </c>
      <c r="R177" t="str">
        <f t="shared" si="9"/>
        <v>High Sales</v>
      </c>
      <c r="S177" t="str">
        <f t="shared" si="10"/>
        <v>Low Discount</v>
      </c>
      <c r="T177" t="str">
        <f t="shared" si="11"/>
        <v>Successful</v>
      </c>
    </row>
    <row r="178" spans="1:20" hidden="1" x14ac:dyDescent="0.25">
      <c r="A178" t="s">
        <v>218</v>
      </c>
      <c r="B178" s="3">
        <v>45972</v>
      </c>
      <c r="C178">
        <v>1077</v>
      </c>
      <c r="D178" t="s">
        <v>25</v>
      </c>
      <c r="E178" t="s">
        <v>43</v>
      </c>
      <c r="F178" t="s">
        <v>15</v>
      </c>
      <c r="G178">
        <v>3</v>
      </c>
      <c r="H178">
        <v>5528</v>
      </c>
      <c r="I178">
        <v>5</v>
      </c>
      <c r="J178">
        <v>15754.8</v>
      </c>
      <c r="K178" t="s">
        <v>41</v>
      </c>
      <c r="L178" t="s">
        <v>17</v>
      </c>
      <c r="P178" t="str">
        <f t="shared" si="8"/>
        <v>Nov</v>
      </c>
      <c r="R178" t="str">
        <f t="shared" si="9"/>
        <v>High Sales</v>
      </c>
      <c r="S178" t="str">
        <f t="shared" si="10"/>
        <v>Low Discount</v>
      </c>
      <c r="T178" t="str">
        <f t="shared" si="11"/>
        <v>Pending</v>
      </c>
    </row>
    <row r="179" spans="1:20" hidden="1" x14ac:dyDescent="0.25">
      <c r="A179" t="s">
        <v>219</v>
      </c>
      <c r="B179" s="3">
        <v>45991</v>
      </c>
      <c r="C179">
        <v>1025</v>
      </c>
      <c r="D179" t="s">
        <v>28</v>
      </c>
      <c r="E179" t="s">
        <v>20</v>
      </c>
      <c r="F179" t="s">
        <v>21</v>
      </c>
      <c r="G179">
        <v>1</v>
      </c>
      <c r="H179">
        <v>29973</v>
      </c>
      <c r="I179">
        <v>25</v>
      </c>
      <c r="J179">
        <v>22479.75</v>
      </c>
      <c r="K179" t="s">
        <v>41</v>
      </c>
      <c r="L179" t="s">
        <v>17</v>
      </c>
      <c r="P179" t="str">
        <f t="shared" si="8"/>
        <v>Nov</v>
      </c>
      <c r="R179" t="str">
        <f t="shared" si="9"/>
        <v>High Sales</v>
      </c>
      <c r="S179" t="str">
        <f t="shared" si="10"/>
        <v>High Discount</v>
      </c>
      <c r="T179" t="str">
        <f t="shared" si="11"/>
        <v>Pending</v>
      </c>
    </row>
    <row r="180" spans="1:20" x14ac:dyDescent="0.25">
      <c r="A180" t="s">
        <v>220</v>
      </c>
      <c r="B180" s="3">
        <v>45833</v>
      </c>
      <c r="C180">
        <v>1092</v>
      </c>
      <c r="D180" t="s">
        <v>19</v>
      </c>
      <c r="E180" t="s">
        <v>45</v>
      </c>
      <c r="F180" t="s">
        <v>37</v>
      </c>
      <c r="G180">
        <v>1</v>
      </c>
      <c r="H180">
        <v>30025</v>
      </c>
      <c r="I180">
        <v>5</v>
      </c>
      <c r="J180">
        <v>28523.75</v>
      </c>
      <c r="K180" t="s">
        <v>22</v>
      </c>
      <c r="L180" t="s">
        <v>23</v>
      </c>
      <c r="P180" t="str">
        <f t="shared" si="8"/>
        <v>Jun</v>
      </c>
      <c r="R180" t="str">
        <f t="shared" si="9"/>
        <v>High Sales</v>
      </c>
      <c r="S180" t="str">
        <f t="shared" si="10"/>
        <v>Low Discount</v>
      </c>
      <c r="T180" t="str">
        <f t="shared" si="11"/>
        <v>Successful</v>
      </c>
    </row>
    <row r="181" spans="1:20" hidden="1" x14ac:dyDescent="0.25">
      <c r="A181" t="s">
        <v>221</v>
      </c>
      <c r="B181" s="3">
        <v>45925</v>
      </c>
      <c r="C181">
        <v>1079</v>
      </c>
      <c r="D181" t="s">
        <v>13</v>
      </c>
      <c r="E181" t="s">
        <v>33</v>
      </c>
      <c r="F181" t="s">
        <v>34</v>
      </c>
      <c r="G181">
        <v>4</v>
      </c>
      <c r="H181">
        <v>29297</v>
      </c>
      <c r="I181">
        <v>25</v>
      </c>
      <c r="J181">
        <v>87891</v>
      </c>
      <c r="K181" t="s">
        <v>31</v>
      </c>
      <c r="L181" t="s">
        <v>26</v>
      </c>
      <c r="P181" t="str">
        <f t="shared" si="8"/>
        <v>Sep</v>
      </c>
      <c r="R181" t="str">
        <f t="shared" si="9"/>
        <v>High Sales</v>
      </c>
      <c r="S181" t="str">
        <f t="shared" si="10"/>
        <v>High Discount</v>
      </c>
      <c r="T181" t="str">
        <f t="shared" si="11"/>
        <v>Pending</v>
      </c>
    </row>
    <row r="182" spans="1:20" hidden="1" x14ac:dyDescent="0.25">
      <c r="A182" t="s">
        <v>222</v>
      </c>
      <c r="B182" s="3">
        <v>46005</v>
      </c>
      <c r="C182">
        <v>1077</v>
      </c>
      <c r="D182" t="s">
        <v>47</v>
      </c>
      <c r="E182" t="s">
        <v>36</v>
      </c>
      <c r="F182" t="s">
        <v>37</v>
      </c>
      <c r="G182">
        <v>4</v>
      </c>
      <c r="H182">
        <v>27289</v>
      </c>
      <c r="I182">
        <v>15</v>
      </c>
      <c r="J182">
        <v>92782.6</v>
      </c>
      <c r="K182" t="s">
        <v>31</v>
      </c>
      <c r="L182" t="s">
        <v>23</v>
      </c>
      <c r="P182" t="str">
        <f t="shared" si="8"/>
        <v>Dec</v>
      </c>
      <c r="R182" t="str">
        <f t="shared" si="9"/>
        <v>High Sales</v>
      </c>
      <c r="S182" t="str">
        <f t="shared" si="10"/>
        <v>Low Discount</v>
      </c>
      <c r="T182" t="str">
        <f t="shared" si="11"/>
        <v>Successful</v>
      </c>
    </row>
    <row r="183" spans="1:20" hidden="1" x14ac:dyDescent="0.25">
      <c r="A183" t="s">
        <v>223</v>
      </c>
      <c r="B183" s="3">
        <v>45803</v>
      </c>
      <c r="C183">
        <v>1033</v>
      </c>
      <c r="D183" t="s">
        <v>13</v>
      </c>
      <c r="E183" t="s">
        <v>43</v>
      </c>
      <c r="F183" t="s">
        <v>15</v>
      </c>
      <c r="G183">
        <v>1</v>
      </c>
      <c r="H183">
        <v>37066</v>
      </c>
      <c r="I183">
        <v>20</v>
      </c>
      <c r="J183">
        <v>29652.799999999999</v>
      </c>
      <c r="K183" t="s">
        <v>31</v>
      </c>
      <c r="L183" t="s">
        <v>23</v>
      </c>
      <c r="P183" t="str">
        <f t="shared" si="8"/>
        <v>May</v>
      </c>
      <c r="R183" t="str">
        <f t="shared" si="9"/>
        <v>High Sales</v>
      </c>
      <c r="S183" t="str">
        <f t="shared" si="10"/>
        <v>High Discount</v>
      </c>
      <c r="T183" t="str">
        <f t="shared" si="11"/>
        <v>Successful</v>
      </c>
    </row>
    <row r="184" spans="1:20" x14ac:dyDescent="0.25">
      <c r="A184" t="s">
        <v>224</v>
      </c>
      <c r="B184" s="3">
        <v>45993</v>
      </c>
      <c r="C184">
        <v>1090</v>
      </c>
      <c r="D184" t="s">
        <v>25</v>
      </c>
      <c r="E184" t="s">
        <v>29</v>
      </c>
      <c r="F184" t="s">
        <v>30</v>
      </c>
      <c r="G184">
        <v>2</v>
      </c>
      <c r="H184">
        <v>23425</v>
      </c>
      <c r="I184">
        <v>15</v>
      </c>
      <c r="J184">
        <v>39822.5</v>
      </c>
      <c r="K184" t="s">
        <v>22</v>
      </c>
      <c r="L184" t="s">
        <v>17</v>
      </c>
      <c r="P184" t="str">
        <f t="shared" si="8"/>
        <v>Dec</v>
      </c>
      <c r="R184" t="str">
        <f t="shared" si="9"/>
        <v>High Sales</v>
      </c>
      <c r="S184" t="str">
        <f t="shared" si="10"/>
        <v>Low Discount</v>
      </c>
      <c r="T184" t="str">
        <f t="shared" si="11"/>
        <v>Pending</v>
      </c>
    </row>
    <row r="185" spans="1:20" hidden="1" x14ac:dyDescent="0.25">
      <c r="A185" t="s">
        <v>225</v>
      </c>
      <c r="B185" s="3">
        <v>45987</v>
      </c>
      <c r="C185">
        <v>1043</v>
      </c>
      <c r="D185" t="s">
        <v>13</v>
      </c>
      <c r="E185" t="s">
        <v>14</v>
      </c>
      <c r="F185" t="s">
        <v>15</v>
      </c>
      <c r="G185">
        <v>3</v>
      </c>
      <c r="H185">
        <v>37129</v>
      </c>
      <c r="I185">
        <v>20</v>
      </c>
      <c r="J185">
        <v>89109.6</v>
      </c>
      <c r="K185" t="s">
        <v>16</v>
      </c>
      <c r="L185" t="s">
        <v>17</v>
      </c>
      <c r="P185" t="str">
        <f t="shared" si="8"/>
        <v>Nov</v>
      </c>
      <c r="R185" t="str">
        <f t="shared" si="9"/>
        <v>High Sales</v>
      </c>
      <c r="S185" t="str">
        <f t="shared" si="10"/>
        <v>High Discount</v>
      </c>
      <c r="T185" t="str">
        <f t="shared" si="11"/>
        <v>Pending</v>
      </c>
    </row>
    <row r="186" spans="1:20" x14ac:dyDescent="0.25">
      <c r="A186" t="s">
        <v>226</v>
      </c>
      <c r="B186" s="3">
        <v>45843</v>
      </c>
      <c r="C186">
        <v>1040</v>
      </c>
      <c r="D186" t="s">
        <v>13</v>
      </c>
      <c r="E186" t="s">
        <v>53</v>
      </c>
      <c r="F186" t="s">
        <v>15</v>
      </c>
      <c r="G186">
        <v>5</v>
      </c>
      <c r="H186">
        <v>24212</v>
      </c>
      <c r="I186">
        <v>5</v>
      </c>
      <c r="J186">
        <v>115007</v>
      </c>
      <c r="K186" t="s">
        <v>22</v>
      </c>
      <c r="L186" t="s">
        <v>26</v>
      </c>
      <c r="P186" t="str">
        <f t="shared" si="8"/>
        <v>Jul</v>
      </c>
      <c r="R186" t="str">
        <f t="shared" si="9"/>
        <v>High Sales</v>
      </c>
      <c r="S186" t="str">
        <f t="shared" si="10"/>
        <v>Low Discount</v>
      </c>
      <c r="T186" t="str">
        <f t="shared" si="11"/>
        <v>Pending</v>
      </c>
    </row>
    <row r="187" spans="1:20" hidden="1" x14ac:dyDescent="0.25">
      <c r="A187" t="s">
        <v>227</v>
      </c>
      <c r="B187" s="3">
        <v>45737</v>
      </c>
      <c r="C187">
        <v>1010</v>
      </c>
      <c r="D187" t="s">
        <v>40</v>
      </c>
      <c r="E187" t="s">
        <v>51</v>
      </c>
      <c r="F187" t="s">
        <v>21</v>
      </c>
      <c r="G187">
        <v>2</v>
      </c>
      <c r="H187">
        <v>15346</v>
      </c>
      <c r="I187">
        <v>10</v>
      </c>
      <c r="J187">
        <v>27622.799999999999</v>
      </c>
      <c r="K187" t="s">
        <v>16</v>
      </c>
      <c r="L187" t="s">
        <v>17</v>
      </c>
      <c r="P187" t="str">
        <f t="shared" si="8"/>
        <v>Mar</v>
      </c>
      <c r="R187" t="str">
        <f t="shared" si="9"/>
        <v>High Sales</v>
      </c>
      <c r="S187" t="str">
        <f t="shared" si="10"/>
        <v>Low Discount</v>
      </c>
      <c r="T187" t="str">
        <f t="shared" si="11"/>
        <v>Pending</v>
      </c>
    </row>
    <row r="188" spans="1:20" x14ac:dyDescent="0.25">
      <c r="A188" t="s">
        <v>228</v>
      </c>
      <c r="B188" s="3">
        <v>45974</v>
      </c>
      <c r="C188">
        <v>1017</v>
      </c>
      <c r="D188" t="s">
        <v>25</v>
      </c>
      <c r="E188" t="s">
        <v>20</v>
      </c>
      <c r="F188" t="s">
        <v>21</v>
      </c>
      <c r="G188">
        <v>5</v>
      </c>
      <c r="H188">
        <v>2973</v>
      </c>
      <c r="I188">
        <v>15</v>
      </c>
      <c r="J188">
        <v>12635.25</v>
      </c>
      <c r="K188" t="s">
        <v>22</v>
      </c>
      <c r="L188" t="s">
        <v>23</v>
      </c>
      <c r="P188" t="str">
        <f t="shared" si="8"/>
        <v>Nov</v>
      </c>
      <c r="R188" t="str">
        <f t="shared" si="9"/>
        <v>High Sales</v>
      </c>
      <c r="S188" t="str">
        <f t="shared" si="10"/>
        <v>Low Discount</v>
      </c>
      <c r="T188" t="str">
        <f t="shared" si="11"/>
        <v>Successful</v>
      </c>
    </row>
    <row r="189" spans="1:20" x14ac:dyDescent="0.25">
      <c r="A189" t="s">
        <v>229</v>
      </c>
      <c r="B189" s="3">
        <v>45680</v>
      </c>
      <c r="C189">
        <v>1053</v>
      </c>
      <c r="D189" t="s">
        <v>28</v>
      </c>
      <c r="E189" t="s">
        <v>45</v>
      </c>
      <c r="F189" t="s">
        <v>37</v>
      </c>
      <c r="G189">
        <v>5</v>
      </c>
      <c r="H189">
        <v>11348</v>
      </c>
      <c r="I189">
        <v>20</v>
      </c>
      <c r="J189">
        <v>45392</v>
      </c>
      <c r="K189" t="s">
        <v>22</v>
      </c>
      <c r="L189" t="s">
        <v>26</v>
      </c>
      <c r="P189" t="str">
        <f t="shared" si="8"/>
        <v>Jan</v>
      </c>
      <c r="R189" t="str">
        <f t="shared" si="9"/>
        <v>High Sales</v>
      </c>
      <c r="S189" t="str">
        <f t="shared" si="10"/>
        <v>High Discount</v>
      </c>
      <c r="T189" t="str">
        <f t="shared" si="11"/>
        <v>Pending</v>
      </c>
    </row>
    <row r="190" spans="1:20" hidden="1" x14ac:dyDescent="0.25">
      <c r="A190" t="s">
        <v>230</v>
      </c>
      <c r="B190" s="3">
        <v>45777</v>
      </c>
      <c r="C190">
        <v>1069</v>
      </c>
      <c r="D190" t="s">
        <v>58</v>
      </c>
      <c r="E190" t="s">
        <v>29</v>
      </c>
      <c r="F190" t="s">
        <v>30</v>
      </c>
      <c r="G190">
        <v>3</v>
      </c>
      <c r="H190">
        <v>49808</v>
      </c>
      <c r="I190">
        <v>20</v>
      </c>
      <c r="J190">
        <v>119539.2</v>
      </c>
      <c r="K190" t="s">
        <v>31</v>
      </c>
      <c r="L190" t="s">
        <v>26</v>
      </c>
      <c r="P190" t="str">
        <f t="shared" si="8"/>
        <v>Apr</v>
      </c>
      <c r="R190" t="str">
        <f t="shared" si="9"/>
        <v>High Sales</v>
      </c>
      <c r="S190" t="str">
        <f t="shared" si="10"/>
        <v>High Discount</v>
      </c>
      <c r="T190" t="str">
        <f t="shared" si="11"/>
        <v>Pending</v>
      </c>
    </row>
    <row r="191" spans="1:20" hidden="1" x14ac:dyDescent="0.25">
      <c r="A191" t="s">
        <v>231</v>
      </c>
      <c r="B191" s="3">
        <v>45883</v>
      </c>
      <c r="C191">
        <v>1060</v>
      </c>
      <c r="D191" t="s">
        <v>40</v>
      </c>
      <c r="E191" t="s">
        <v>33</v>
      </c>
      <c r="F191" t="s">
        <v>34</v>
      </c>
      <c r="G191">
        <v>3</v>
      </c>
      <c r="H191">
        <v>44953</v>
      </c>
      <c r="I191">
        <v>25</v>
      </c>
      <c r="J191">
        <v>101144.25</v>
      </c>
      <c r="K191" t="s">
        <v>41</v>
      </c>
      <c r="L191" t="s">
        <v>17</v>
      </c>
      <c r="P191" t="str">
        <f t="shared" si="8"/>
        <v>Aug</v>
      </c>
      <c r="R191" t="str">
        <f t="shared" si="9"/>
        <v>High Sales</v>
      </c>
      <c r="S191" t="str">
        <f t="shared" si="10"/>
        <v>High Discount</v>
      </c>
      <c r="T191" t="str">
        <f t="shared" si="11"/>
        <v>Pending</v>
      </c>
    </row>
    <row r="192" spans="1:20" hidden="1" x14ac:dyDescent="0.25">
      <c r="A192" t="s">
        <v>232</v>
      </c>
      <c r="B192" s="3">
        <v>45967</v>
      </c>
      <c r="C192">
        <v>1018</v>
      </c>
      <c r="D192" t="s">
        <v>40</v>
      </c>
      <c r="E192" t="s">
        <v>20</v>
      </c>
      <c r="F192" t="s">
        <v>21</v>
      </c>
      <c r="G192">
        <v>4</v>
      </c>
      <c r="H192">
        <v>11120</v>
      </c>
      <c r="I192">
        <v>10</v>
      </c>
      <c r="J192">
        <v>40032</v>
      </c>
      <c r="K192" t="s">
        <v>16</v>
      </c>
      <c r="L192" t="s">
        <v>17</v>
      </c>
      <c r="P192" t="str">
        <f t="shared" si="8"/>
        <v>Nov</v>
      </c>
      <c r="R192" t="str">
        <f t="shared" si="9"/>
        <v>High Sales</v>
      </c>
      <c r="S192" t="str">
        <f t="shared" si="10"/>
        <v>Low Discount</v>
      </c>
      <c r="T192" t="str">
        <f t="shared" si="11"/>
        <v>Pending</v>
      </c>
    </row>
    <row r="193" spans="1:20" hidden="1" x14ac:dyDescent="0.25">
      <c r="A193" t="s">
        <v>233</v>
      </c>
      <c r="B193" s="3">
        <v>46022</v>
      </c>
      <c r="C193">
        <v>1067</v>
      </c>
      <c r="D193" t="s">
        <v>19</v>
      </c>
      <c r="E193" t="s">
        <v>51</v>
      </c>
      <c r="F193" t="s">
        <v>21</v>
      </c>
      <c r="G193">
        <v>3</v>
      </c>
      <c r="H193">
        <v>36842</v>
      </c>
      <c r="I193">
        <v>5</v>
      </c>
      <c r="J193">
        <v>104999.7</v>
      </c>
      <c r="K193" t="s">
        <v>31</v>
      </c>
      <c r="L193" t="s">
        <v>23</v>
      </c>
      <c r="P193" t="str">
        <f t="shared" si="8"/>
        <v>Dec</v>
      </c>
      <c r="R193" t="str">
        <f t="shared" si="9"/>
        <v>High Sales</v>
      </c>
      <c r="S193" t="str">
        <f t="shared" si="10"/>
        <v>Low Discount</v>
      </c>
      <c r="T193" t="str">
        <f t="shared" si="11"/>
        <v>Successful</v>
      </c>
    </row>
    <row r="194" spans="1:20" x14ac:dyDescent="0.25">
      <c r="A194" t="s">
        <v>234</v>
      </c>
      <c r="B194" s="3">
        <v>45733</v>
      </c>
      <c r="C194">
        <v>1056</v>
      </c>
      <c r="D194" t="s">
        <v>19</v>
      </c>
      <c r="E194" t="s">
        <v>45</v>
      </c>
      <c r="F194" t="s">
        <v>37</v>
      </c>
      <c r="G194">
        <v>3</v>
      </c>
      <c r="H194">
        <v>29946</v>
      </c>
      <c r="I194">
        <v>25</v>
      </c>
      <c r="J194">
        <v>67378.5</v>
      </c>
      <c r="K194" t="s">
        <v>22</v>
      </c>
      <c r="L194" t="s">
        <v>26</v>
      </c>
      <c r="P194" t="str">
        <f t="shared" si="8"/>
        <v>Mar</v>
      </c>
      <c r="R194" t="str">
        <f t="shared" si="9"/>
        <v>High Sales</v>
      </c>
      <c r="S194" t="str">
        <f t="shared" si="10"/>
        <v>High Discount</v>
      </c>
      <c r="T194" t="str">
        <f t="shared" si="11"/>
        <v>Pending</v>
      </c>
    </row>
    <row r="195" spans="1:20" x14ac:dyDescent="0.25">
      <c r="A195" t="s">
        <v>235</v>
      </c>
      <c r="B195" s="3">
        <v>45860</v>
      </c>
      <c r="C195">
        <v>1065</v>
      </c>
      <c r="D195" t="s">
        <v>28</v>
      </c>
      <c r="E195" t="s">
        <v>43</v>
      </c>
      <c r="F195" t="s">
        <v>15</v>
      </c>
      <c r="G195">
        <v>1</v>
      </c>
      <c r="H195">
        <v>27690</v>
      </c>
      <c r="I195">
        <v>5</v>
      </c>
      <c r="J195">
        <v>26305.5</v>
      </c>
      <c r="K195" t="s">
        <v>22</v>
      </c>
      <c r="L195" t="s">
        <v>26</v>
      </c>
      <c r="P195" t="str">
        <f t="shared" ref="P195:P201" si="12">TEXT(B195,"MMM")</f>
        <v>Jul</v>
      </c>
      <c r="R195" t="str">
        <f t="shared" ref="R195:R201" si="13">IF(J195&gt;5000,"High Sales",IF(J195&gt;2000,"Medium Sales","Low Sales"))</f>
        <v>High Sales</v>
      </c>
      <c r="S195" t="str">
        <f t="shared" ref="S195:S201" si="14">IF(I195&gt;=20,"High Discount","Low Discount")</f>
        <v>Low Discount</v>
      </c>
      <c r="T195" t="str">
        <f t="shared" ref="T195:T201" si="15">IF(L195="Delivered","Successful","Pending")</f>
        <v>Pending</v>
      </c>
    </row>
    <row r="196" spans="1:20" x14ac:dyDescent="0.25">
      <c r="A196" t="s">
        <v>236</v>
      </c>
      <c r="B196" s="3">
        <v>45821</v>
      </c>
      <c r="C196">
        <v>1013</v>
      </c>
      <c r="D196" t="s">
        <v>28</v>
      </c>
      <c r="E196" t="s">
        <v>14</v>
      </c>
      <c r="F196" t="s">
        <v>15</v>
      </c>
      <c r="G196">
        <v>3</v>
      </c>
      <c r="H196">
        <v>15215</v>
      </c>
      <c r="I196">
        <v>5</v>
      </c>
      <c r="J196">
        <v>43362.75</v>
      </c>
      <c r="K196" t="s">
        <v>22</v>
      </c>
      <c r="L196" t="s">
        <v>23</v>
      </c>
      <c r="P196" t="str">
        <f t="shared" si="12"/>
        <v>Jun</v>
      </c>
      <c r="R196" t="str">
        <f t="shared" si="13"/>
        <v>High Sales</v>
      </c>
      <c r="S196" t="str">
        <f t="shared" si="14"/>
        <v>Low Discount</v>
      </c>
      <c r="T196" t="str">
        <f t="shared" si="15"/>
        <v>Successful</v>
      </c>
    </row>
    <row r="197" spans="1:20" hidden="1" x14ac:dyDescent="0.25">
      <c r="A197" t="s">
        <v>237</v>
      </c>
      <c r="B197" s="3">
        <v>46019</v>
      </c>
      <c r="C197">
        <v>1061</v>
      </c>
      <c r="D197" t="s">
        <v>49</v>
      </c>
      <c r="E197" t="s">
        <v>65</v>
      </c>
      <c r="F197" t="s">
        <v>15</v>
      </c>
      <c r="G197">
        <v>3</v>
      </c>
      <c r="H197">
        <v>31462</v>
      </c>
      <c r="I197">
        <v>10</v>
      </c>
      <c r="J197">
        <v>84947.4</v>
      </c>
      <c r="K197" t="s">
        <v>16</v>
      </c>
      <c r="L197" t="s">
        <v>23</v>
      </c>
      <c r="P197" t="str">
        <f t="shared" si="12"/>
        <v>Dec</v>
      </c>
      <c r="R197" t="str">
        <f t="shared" si="13"/>
        <v>High Sales</v>
      </c>
      <c r="S197" t="str">
        <f t="shared" si="14"/>
        <v>Low Discount</v>
      </c>
      <c r="T197" t="str">
        <f t="shared" si="15"/>
        <v>Successful</v>
      </c>
    </row>
    <row r="198" spans="1:20" hidden="1" x14ac:dyDescent="0.25">
      <c r="A198" t="s">
        <v>238</v>
      </c>
      <c r="B198" s="3">
        <v>45938</v>
      </c>
      <c r="C198">
        <v>1094</v>
      </c>
      <c r="D198" t="s">
        <v>25</v>
      </c>
      <c r="E198" t="s">
        <v>65</v>
      </c>
      <c r="F198" t="s">
        <v>15</v>
      </c>
      <c r="G198">
        <v>3</v>
      </c>
      <c r="H198">
        <v>14633</v>
      </c>
      <c r="I198">
        <v>10</v>
      </c>
      <c r="J198">
        <v>39509.1</v>
      </c>
      <c r="K198" t="s">
        <v>16</v>
      </c>
      <c r="L198" t="s">
        <v>26</v>
      </c>
      <c r="P198" t="str">
        <f t="shared" si="12"/>
        <v>Oct</v>
      </c>
      <c r="R198" t="str">
        <f t="shared" si="13"/>
        <v>High Sales</v>
      </c>
      <c r="S198" t="str">
        <f t="shared" si="14"/>
        <v>Low Discount</v>
      </c>
      <c r="T198" t="str">
        <f t="shared" si="15"/>
        <v>Pending</v>
      </c>
    </row>
    <row r="199" spans="1:20" hidden="1" x14ac:dyDescent="0.25">
      <c r="A199" t="s">
        <v>239</v>
      </c>
      <c r="B199" s="3">
        <v>45780</v>
      </c>
      <c r="C199">
        <v>1054</v>
      </c>
      <c r="D199" t="s">
        <v>49</v>
      </c>
      <c r="E199" t="s">
        <v>33</v>
      </c>
      <c r="F199" t="s">
        <v>34</v>
      </c>
      <c r="G199">
        <v>3</v>
      </c>
      <c r="H199">
        <v>8485</v>
      </c>
      <c r="I199">
        <v>5</v>
      </c>
      <c r="J199">
        <v>24182.25</v>
      </c>
      <c r="K199" t="s">
        <v>16</v>
      </c>
      <c r="L199" t="s">
        <v>23</v>
      </c>
      <c r="P199" t="str">
        <f t="shared" si="12"/>
        <v>May</v>
      </c>
      <c r="R199" t="str">
        <f t="shared" si="13"/>
        <v>High Sales</v>
      </c>
      <c r="S199" t="str">
        <f t="shared" si="14"/>
        <v>Low Discount</v>
      </c>
      <c r="T199" t="str">
        <f t="shared" si="15"/>
        <v>Successful</v>
      </c>
    </row>
    <row r="200" spans="1:20" x14ac:dyDescent="0.25">
      <c r="A200" t="s">
        <v>240</v>
      </c>
      <c r="B200" s="3">
        <v>45981</v>
      </c>
      <c r="C200">
        <v>1066</v>
      </c>
      <c r="D200" t="s">
        <v>58</v>
      </c>
      <c r="E200" t="s">
        <v>51</v>
      </c>
      <c r="F200" t="s">
        <v>21</v>
      </c>
      <c r="G200">
        <v>5</v>
      </c>
      <c r="H200">
        <v>35630</v>
      </c>
      <c r="I200">
        <v>5</v>
      </c>
      <c r="J200">
        <v>169242.5</v>
      </c>
      <c r="K200" t="s">
        <v>22</v>
      </c>
      <c r="L200" t="s">
        <v>26</v>
      </c>
      <c r="P200" t="str">
        <f t="shared" si="12"/>
        <v>Nov</v>
      </c>
      <c r="R200" t="str">
        <f t="shared" si="13"/>
        <v>High Sales</v>
      </c>
      <c r="S200" t="str">
        <f t="shared" si="14"/>
        <v>Low Discount</v>
      </c>
      <c r="T200" t="str">
        <f t="shared" si="15"/>
        <v>Pending</v>
      </c>
    </row>
    <row r="201" spans="1:20" x14ac:dyDescent="0.25">
      <c r="A201" t="s">
        <v>241</v>
      </c>
      <c r="B201" s="3">
        <v>45781</v>
      </c>
      <c r="C201">
        <v>1074</v>
      </c>
      <c r="D201" t="s">
        <v>25</v>
      </c>
      <c r="E201" t="s">
        <v>53</v>
      </c>
      <c r="F201" t="s">
        <v>15</v>
      </c>
      <c r="G201">
        <v>1</v>
      </c>
      <c r="H201">
        <v>40792</v>
      </c>
      <c r="I201">
        <v>15</v>
      </c>
      <c r="J201">
        <v>34673.199999999997</v>
      </c>
      <c r="K201" t="s">
        <v>22</v>
      </c>
      <c r="L201" t="s">
        <v>17</v>
      </c>
      <c r="P201" t="str">
        <f t="shared" si="12"/>
        <v>May</v>
      </c>
      <c r="R201" t="str">
        <f t="shared" si="13"/>
        <v>High Sales</v>
      </c>
      <c r="S201" t="str">
        <f t="shared" si="14"/>
        <v>Low Discount</v>
      </c>
      <c r="T201" t="str">
        <f t="shared" si="15"/>
        <v>Pending</v>
      </c>
    </row>
  </sheetData>
  <conditionalFormatting sqref="J2:J201">
    <cfRule type="cellIs" dxfId="6" priority="6" operator="greaterThan">
      <formula>"&gt;5000"</formula>
    </cfRule>
    <cfRule type="cellIs" dxfId="5" priority="5" operator="greaterThan">
      <formula>"&gt;50000"</formula>
    </cfRule>
    <cfRule type="cellIs" dxfId="4" priority="4" operator="greaterThan">
      <formula>118002.9</formula>
    </cfRule>
    <cfRule type="dataBar" priority="1">
      <dataBar>
        <cfvo type="min"/>
        <cfvo type="max"/>
        <color rgb="FFD6007B"/>
      </dataBar>
      <extLst>
        <ext xmlns:x14="http://schemas.microsoft.com/office/spreadsheetml/2009/9/main" uri="{B025F937-C7B1-47D3-B67F-A62EFF666E3E}">
          <x14:id>{8F3640F2-4C6B-45EA-AA3E-8DAD7428FC95}</x14:id>
        </ext>
      </extLst>
    </cfRule>
  </conditionalFormatting>
  <conditionalFormatting sqref="L2:L201">
    <cfRule type="containsText" dxfId="3" priority="3" operator="containsText" text="Pending">
      <formula>NOT(ISERROR(SEARCH("Pending",L2)))</formula>
    </cfRule>
  </conditionalFormatting>
  <conditionalFormatting sqref="H2:H201">
    <cfRule type="top10" dxfId="2" priority="2" rank="10"/>
  </conditionalFormatting>
  <pageMargins left="0.75" right="0.75" top="1" bottom="1" header="0.5" footer="0.5"/>
  <pageSetup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8F3640F2-4C6B-45EA-AA3E-8DAD7428FC95}">
            <x14:dataBar minLength="0" maxLength="100" border="1" negativeBarBorderColorSameAsPositive="0">
              <x14:cfvo type="autoMin"/>
              <x14:cfvo type="autoMax"/>
              <x14:borderColor rgb="FFD6007B"/>
              <x14:negativeFillColor rgb="FFFF0000"/>
              <x14:negativeBorderColor rgb="FFFF0000"/>
              <x14:axisColor rgb="FF000000"/>
            </x14:dataBar>
          </x14:cfRule>
          <xm:sqref>J2:J201</xm:sqref>
        </x14:conditionalFormatting>
      </x14:conditionalFormattings>
    </ext>
    <ext xmlns:x15="http://schemas.microsoft.com/office/spreadsheetml/2010/11/main" uri="{3A4CF648-6AED-40f4-86FF-DC5316D8AED3}">
      <x14:slicerList xmlns:x14="http://schemas.microsoft.com/office/spreadsheetml/2009/9/main">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Views>
    <sheetView workbookViewId="0">
      <selection activeCell="F7" sqref="E7:F16"/>
    </sheetView>
  </sheetViews>
  <sheetFormatPr defaultRowHeight="15" x14ac:dyDescent="0.25"/>
  <cols>
    <col min="1" max="1" width="10.42578125" bestFit="1" customWidth="1"/>
    <col min="2" max="2" width="13" customWidth="1"/>
    <col min="3" max="3" width="18.42578125" customWidth="1"/>
    <col min="4" max="4" width="21.7109375" bestFit="1" customWidth="1"/>
    <col min="5" max="5" width="20.7109375" customWidth="1"/>
    <col min="6" max="6" width="21" bestFit="1" customWidth="1"/>
    <col min="7" max="7" width="35.140625" customWidth="1"/>
  </cols>
  <sheetData>
    <row r="1" spans="1:7" x14ac:dyDescent="0.25">
      <c r="A1" s="1" t="s">
        <v>251</v>
      </c>
      <c r="B1" s="1" t="s">
        <v>252</v>
      </c>
      <c r="C1" s="1" t="s">
        <v>253</v>
      </c>
      <c r="D1" s="1" t="s">
        <v>254</v>
      </c>
      <c r="E1" s="1" t="s">
        <v>255</v>
      </c>
      <c r="F1" s="1" t="s">
        <v>256</v>
      </c>
      <c r="G1" s="1" t="s">
        <v>283</v>
      </c>
    </row>
    <row r="2" spans="1:7" x14ac:dyDescent="0.25">
      <c r="A2">
        <f>SUM(Flipkart_Sales_Data!J:J)</f>
        <v>12371152.899999995</v>
      </c>
      <c r="B2">
        <f>COUNTA(Flipkart_Sales_Data!A:A)-1</f>
        <v>200</v>
      </c>
      <c r="C2">
        <f>SUM(Flipkart_Sales_Data!G:G)</f>
        <v>593</v>
      </c>
      <c r="D2">
        <f>AVERAGE(Flipkart_Sales_Data!J:J)</f>
        <v>61855.764499999976</v>
      </c>
      <c r="E2">
        <f>MAX(Flipkart_Sales_Data!J:J)</f>
        <v>235201</v>
      </c>
      <c r="F2">
        <f>MIN(Flipkart_Sales_Data!J:J)</f>
        <v>804.8</v>
      </c>
      <c r="G2">
        <f>AVERAGE(Flipkart_Sales_Data!I:I)</f>
        <v>14.525</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sqref="A1:XFD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Product Analysis</vt:lpstr>
      <vt:lpstr>City Analysis</vt:lpstr>
      <vt:lpstr>DELIVERY STATUS ANALYSIS</vt:lpstr>
      <vt:lpstr>PAYMENT MODE ANALYSIS</vt:lpstr>
      <vt:lpstr> DISCOUNT ANALYSIS</vt:lpstr>
      <vt:lpstr>TIME-BASED ANALYSIS</vt:lpstr>
      <vt:lpstr>Flipkart_Sales_Data</vt:lpstr>
      <vt:lpstr>Overview Analysis</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PRABAKARAN</cp:lastModifiedBy>
  <dcterms:created xsi:type="dcterms:W3CDTF">2026-05-12T12:32:19Z</dcterms:created>
  <dcterms:modified xsi:type="dcterms:W3CDTF">2026-05-16T07:09:23Z</dcterms:modified>
</cp:coreProperties>
</file>